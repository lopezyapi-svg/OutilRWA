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25" activeTab="27" autoFilterDateGrouping="1"/>
  </bookViews>
  <sheets>
    <sheet name="Page_de_garde" sheetId="1" state="visible" r:id="rId1"/>
    <sheet name="ADPE" sheetId="2" state="visible" r:id="rId2"/>
    <sheet name="Liste_EP_à_renseigner" sheetId="3" state="visible" r:id="rId3"/>
    <sheet name="EP01" sheetId="4" state="visible" r:id="rId4"/>
    <sheet name="EP02" sheetId="5" state="visible" r:id="rId5"/>
    <sheet name="EP03" sheetId="6" state="visible" r:id="rId6"/>
    <sheet name="EP3M" sheetId="7" state="visible" r:id="rId7"/>
    <sheet name="EP04" sheetId="8" state="visible" r:id="rId8"/>
    <sheet name="EP05" sheetId="9" state="visible" r:id="rId9"/>
    <sheet name="EP5M" sheetId="10" state="visible" r:id="rId10"/>
    <sheet name="EP06" sheetId="11" state="visible" r:id="rId11"/>
    <sheet name="EP07" sheetId="12" state="visible" r:id="rId12"/>
    <sheet name="EP08" sheetId="13" state="visible" r:id="rId13"/>
    <sheet name="EP09" sheetId="14" state="visible" r:id="rId14"/>
    <sheet name="EP10" sheetId="15" state="visible" r:id="rId15"/>
    <sheet name="EP11" sheetId="16" state="visible" r:id="rId16"/>
    <sheet name="EP12" sheetId="17" state="visible" r:id="rId17"/>
    <sheet name="EP13" sheetId="18" state="visible" r:id="rId18"/>
    <sheet name="EP14" sheetId="19" state="visible" r:id="rId19"/>
    <sheet name="EP15" sheetId="20" state="visible" r:id="rId20"/>
    <sheet name="EP16" sheetId="21" state="visible" r:id="rId21"/>
    <sheet name="EP17" sheetId="22" state="visible" r:id="rId22"/>
    <sheet name="EP18" sheetId="23" state="visible" r:id="rId23"/>
    <sheet name="EP19" sheetId="24" state="visible" r:id="rId24"/>
    <sheet name="EP20" sheetId="25" state="visible" r:id="rId25"/>
    <sheet name="EP21" sheetId="26" state="visible" r:id="rId26"/>
    <sheet name="EP22" sheetId="27" state="visible" r:id="rId27"/>
    <sheet name="EP23" sheetId="28" state="visible" r:id="rId28"/>
    <sheet name="EP24" sheetId="29" state="visible" r:id="rId29"/>
    <sheet name="EP25" sheetId="30" state="visible" r:id="rId30"/>
    <sheet name="EP26" sheetId="31" state="visible" r:id="rId31"/>
    <sheet name="EP27" sheetId="32" state="visible" r:id="rId32"/>
    <sheet name="EP28" sheetId="33" state="visible" r:id="rId33"/>
    <sheet name="EP29" sheetId="34" state="visible" r:id="rId34"/>
    <sheet name="EP30" sheetId="35" state="visible" r:id="rId35"/>
    <sheet name="EP31" sheetId="36" state="visible" r:id="rId36"/>
    <sheet name="EP32" sheetId="37" state="visible" r:id="rId37"/>
    <sheet name="EP33" sheetId="38" state="visible" r:id="rId38"/>
    <sheet name="EP34" sheetId="39" state="visible" r:id="rId39"/>
    <sheet name="EP35" sheetId="40" state="visible" r:id="rId40"/>
    <sheet name="EP36" sheetId="41" state="visible" r:id="rId41"/>
    <sheet name="EP37" sheetId="42" state="visible" r:id="rId42"/>
    <sheet name="EP38" sheetId="43" state="visible" r:id="rId43"/>
    <sheet name="EP39" sheetId="44" state="visible" r:id="rId44"/>
  </sheets>
  <definedNames>
    <definedName name="_xlnm.Print_Area" localSheetId="1">'ADPE'!$A$1:$AE$52</definedName>
    <definedName name="_xlnm.Print_Area" localSheetId="2">'Liste_EP_à_renseigner'!$A$1:$E$48</definedName>
    <definedName name="_xlnm.Print_Area" localSheetId="4">'EP02'!$A$1:$G$18</definedName>
    <definedName name="_xlnm.Print_Titles" localSheetId="5">'EP03'!$1:$9</definedName>
    <definedName name="_xlnm.Print_Area" localSheetId="5">'EP03'!$A$1:$C$69</definedName>
    <definedName name="_xlnm.Print_Titles" localSheetId="6">'EP3M'!$1:$11</definedName>
    <definedName name="_xlnm.Print_Titles" localSheetId="8">'EP05'!$1:$9</definedName>
    <definedName name="_xlnm.Print_Area" localSheetId="8">'EP05'!$A$1:$C$73</definedName>
    <definedName name="_xlnm.Print_Titles" localSheetId="9">'EP5M'!$1:$11</definedName>
    <definedName name="_xlnm.Print_Titles" localSheetId="11">'EP07'!$1:$8</definedName>
    <definedName name="_xlnm.Print_Area" localSheetId="11">'EP07'!$A$1:$N$49</definedName>
    <definedName name="_xlnm.Print_Area" localSheetId="15">'EP11'!$A$1:$L$36</definedName>
    <definedName name="_xlnm.Print_Area" localSheetId="17">'EP13'!$A$1:$J$43</definedName>
    <definedName name="_xlnm.Print_Area" localSheetId="19">'EP15'!$A$1:$J$43</definedName>
    <definedName name="_xlnm.Print_Area" localSheetId="24">'EP20'!$A$1:$E$27</definedName>
    <definedName name="_xlnm.Print_Area" localSheetId="26">'EP22'!$A$1:$H$17</definedName>
    <definedName name="_xlnm.Print_Area" localSheetId="27">'EP23'!$A$1:$K$38</definedName>
    <definedName name="_xlnm.Print_Titles" localSheetId="28">'EP24'!$1:$9</definedName>
    <definedName name="_xlnm.Print_Area" localSheetId="28">'EP24'!$A$1:$M$46</definedName>
    <definedName name="_xlnm.Print_Titles" localSheetId="29">'EP25'!$1:$7</definedName>
    <definedName name="_xlnm.Print_Area" localSheetId="29">'EP25'!$A$1:$I$83</definedName>
    <definedName name="_xlnm.Print_Titles" localSheetId="30">'EP26'!$1:$7</definedName>
    <definedName name="_xlnm.Print_Area" localSheetId="30">'EP26'!$A$1:$I$47</definedName>
    <definedName name="_xlnm.Print_Titles" localSheetId="31">'EP27'!$1:$7</definedName>
    <definedName name="_xlnm.Print_Area" localSheetId="31">'EP27'!$A$1:$J$82</definedName>
    <definedName name="_xlnm.Print_Area" localSheetId="32">'EP28'!$A$1:$E$48</definedName>
    <definedName name="_xlnm.Print_Titles" localSheetId="33">'EP29'!$1:$1</definedName>
    <definedName name="_xlnm.Print_Titles" localSheetId="34">'EP30'!$1:$15</definedName>
    <definedName name="_xlnm.Print_Area" localSheetId="35">'EP31'!$A$1:$AB$31</definedName>
    <definedName name="_xlnm.Print_Area" localSheetId="36">'EP32'!$A$1:$J$71</definedName>
    <definedName name="_xlnm.Print_Area" localSheetId="37">'EP33'!$A$1:$C$35</definedName>
    <definedName name="_xlnm.Print_Titles" localSheetId="38">'EP34'!$1:$11</definedName>
    <definedName name="_xlnm.Print_Area" localSheetId="39">'EP35'!$A$1:$I$71</definedName>
    <definedName name="_xlnm.Print_Area" localSheetId="40">'EP36'!$A$1:$F$26</definedName>
    <definedName name="_xlnm.Print_Area" localSheetId="41">'EP37'!$A$1:$F$25</definedName>
    <definedName name="_xlnm.Print_Area" localSheetId="42">'EP38'!$A$1:$M$21</definedName>
    <definedName name="_xlnm.Print_Titles" localSheetId="43">'EP39'!$1:$9</definedName>
  </definedNames>
  <calcPr calcId="191029" fullCalcOnLoad="1"/>
</workbook>
</file>

<file path=xl/styles.xml><?xml version="1.0" encoding="utf-8"?>
<styleSheet xmlns="http://schemas.openxmlformats.org/spreadsheetml/2006/main">
  <numFmts count="31">
    <numFmt numFmtId="164" formatCode="0.00\ %"/>
    <numFmt numFmtId="165" formatCode="\ General"/>
    <numFmt numFmtId="166" formatCode="0\ %"/>
    <numFmt numFmtId="167" formatCode="[$-40C]General"/>
    <numFmt numFmtId="168" formatCode="0.0%"/>
    <numFmt numFmtId="169" formatCode="#,##0%\ ;\(#,##0%\)"/>
    <numFmt numFmtId="170" formatCode="#,##0\ _€;\-#,##0\ _€"/>
    <numFmt numFmtId="171" formatCode="[$-40C]#,##0"/>
    <numFmt numFmtId="172" formatCode="_(* #,##0.00_);_(* \(#,##0.00\);_(* \-??_);_(@_)"/>
    <numFmt numFmtId="173" formatCode="\ #,##0.00\ ;&quot; (&quot;#,##0.00\);&quot; -&quot;#\ ;\ @\ "/>
    <numFmt numFmtId="174" formatCode="0&quot;  &quot;;\-0&quot;  &quot;"/>
    <numFmt numFmtId="175" formatCode="#,##0.0\ ;\(#,##0.0\)"/>
    <numFmt numFmtId="176" formatCode="0.00\ ;\(0.00\)"/>
    <numFmt numFmtId="177" formatCode="0.0000\ ;\(0.0000\)"/>
    <numFmt numFmtId="178" formatCode="[$-40C]0.00%"/>
    <numFmt numFmtId="179" formatCode="[$-40C]0%"/>
    <numFmt numFmtId="180" formatCode="#,##0.00&quot;  &quot;;\-#,##0.00&quot;  &quot;"/>
    <numFmt numFmtId="181" formatCode="#,##0.0000\ ;\(#,##0.0000\)"/>
    <numFmt numFmtId="182" formatCode="yyyy\-mm\-dd;@"/>
    <numFmt numFmtId="183" formatCode="0.0"/>
    <numFmt numFmtId="184" formatCode="\ #,##0.00\ ;\-#,##0.00\ ;&quot; -&quot;00\ ;@\ "/>
    <numFmt numFmtId="185" formatCode="\ #,##0.00&quot;   &quot;;\-#,##0.00&quot;   &quot;;&quot; -&quot;00&quot;   &quot;;@\ "/>
    <numFmt numFmtId="186" formatCode="_-* #,##0.00\ _€_-;\-* #,##0.00\ _€_-;_-* \-??\ _€_-;_-@_-"/>
    <numFmt numFmtId="187" formatCode="\ #,##0.00&quot;    &quot;;\-#,##0.00&quot;    &quot;;&quot; -&quot;#&quot;    &quot;;\ @\ "/>
    <numFmt numFmtId="188" formatCode="\$0\ ;&quot;($&quot;0\)"/>
    <numFmt numFmtId="189" formatCode="#,##0.00%\ ;\(#,##0.00%\)"/>
    <numFmt numFmtId="190" formatCode="#,##0.00\ [$€-40C];[Red]\-#,##0.00\ [$€-40C]"/>
    <numFmt numFmtId="191" formatCode="0.00000"/>
    <numFmt numFmtId="192" formatCode="0.0000"/>
    <numFmt numFmtId="193" formatCode="[$-40C]0"/>
    <numFmt numFmtId="194" formatCode="0.0000%"/>
  </numFmts>
  <fonts count="125">
    <font>
      <name val="Arial1"/>
      <charset val="1"/>
      <color rgb="FF00000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FFFFFF"/>
      <sz val="11"/>
    </font>
    <font>
      <name val="Arial1"/>
      <charset val="1"/>
      <color rgb="FFFFFFFF"/>
      <sz val="10"/>
    </font>
    <font>
      <name val="Arial1"/>
      <charset val="1"/>
      <color rgb="FF800080"/>
      <sz val="10"/>
    </font>
    <font>
      <name val="Calibri"/>
      <charset val="1"/>
      <family val="2"/>
      <color rgb="FF333399"/>
      <sz val="11"/>
    </font>
    <font>
      <name val="Calibri"/>
      <charset val="1"/>
      <family val="2"/>
      <color rgb="FF008000"/>
      <sz val="11"/>
    </font>
    <font>
      <name val="Arial1"/>
      <charset val="1"/>
      <b val="1"/>
      <color rgb="FFFF990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FF9900"/>
      <sz val="11"/>
    </font>
    <font>
      <name val="Arial1"/>
      <charset val="1"/>
      <b val="1"/>
      <color rgb="FFFF0000"/>
      <sz val="10"/>
    </font>
    <font>
      <name val="Arial1"/>
      <charset val="1"/>
      <b val="1"/>
      <color rgb="FF00B050"/>
      <sz val="10"/>
    </font>
    <font>
      <name val="Arial1"/>
      <charset val="1"/>
      <b val="1"/>
      <color rgb="FFFFFFFF"/>
      <sz val="10"/>
    </font>
    <font>
      <name val="Arial1"/>
      <charset val="1"/>
      <b val="1"/>
      <color rgb="FF000000"/>
      <sz val="10"/>
    </font>
    <font>
      <name val="Calibri"/>
      <charset val="1"/>
      <family val="2"/>
      <b val="1"/>
      <color rgb="FFFF9900"/>
      <sz val="11"/>
    </font>
    <font>
      <name val="Cambria"/>
      <charset val="1"/>
      <family val="1"/>
      <b val="1"/>
      <color rgb="FF003366"/>
      <sz val="18"/>
    </font>
    <font>
      <name val="Calibri"/>
      <charset val="1"/>
      <family val="2"/>
      <b val="1"/>
      <color rgb="FF003366"/>
      <sz val="15"/>
    </font>
    <font>
      <name val="Calibri"/>
      <charset val="1"/>
      <family val="2"/>
      <b val="1"/>
      <color rgb="FF003366"/>
      <sz val="13"/>
    </font>
    <font>
      <name val="Calibri"/>
      <charset val="1"/>
      <family val="2"/>
      <b val="1"/>
      <color rgb="FF003366"/>
      <sz val="11"/>
    </font>
    <font>
      <name val="Arial1"/>
      <charset val="1"/>
      <i val="1"/>
      <color rgb="FF808080"/>
      <sz val="10"/>
    </font>
    <font>
      <name val="Calibri"/>
      <charset val="1"/>
      <family val="2"/>
      <color rgb="FFFF0000"/>
      <sz val="11"/>
    </font>
    <font>
      <name val="Arial1"/>
      <charset val="1"/>
      <color rgb="FF000000"/>
      <sz val="7"/>
    </font>
    <font>
      <name val="Arial"/>
      <family val="2"/>
      <color rgb="FF000000"/>
      <sz val="7"/>
    </font>
    <font>
      <name val="Arial1"/>
      <charset val="1"/>
      <color rgb="FF008000"/>
      <sz val="10"/>
    </font>
    <font>
      <name val="Arial1"/>
      <charset val="1"/>
      <b val="1"/>
      <color rgb="FF003366"/>
      <sz val="15"/>
    </font>
    <font>
      <name val="Arial1"/>
      <charset val="1"/>
      <b val="1"/>
      <color rgb="FF000000"/>
      <sz val="20"/>
    </font>
    <font>
      <name val="Arial1"/>
      <charset val="1"/>
      <b val="1"/>
      <color rgb="FF003366"/>
      <sz val="13"/>
    </font>
    <font>
      <name val="Arial1"/>
      <charset val="1"/>
      <b val="1"/>
      <color rgb="FF000000"/>
      <sz val="12"/>
    </font>
    <font>
      <name val="Arial1"/>
      <charset val="1"/>
      <b val="1"/>
      <color rgb="FF000000"/>
      <sz val="11"/>
    </font>
    <font>
      <name val="Arial1"/>
      <charset val="1"/>
      <b val="1"/>
      <color rgb="FF003366"/>
      <sz val="11"/>
    </font>
    <font>
      <name val="Arial"/>
      <charset val="1"/>
      <family val="2"/>
      <b val="1"/>
      <i val="1"/>
      <color rgb="FF000000"/>
      <sz val="16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000000"/>
      <sz val="10"/>
    </font>
    <font>
      <name val="Arial1"/>
      <charset val="1"/>
      <b val="1"/>
      <i val="1"/>
      <color rgb="FF000000"/>
      <sz val="11"/>
    </font>
    <font>
      <name val="Arial1"/>
      <charset val="1"/>
      <color rgb="FF0000FF"/>
      <sz val="10"/>
      <u val="single"/>
    </font>
    <font>
      <name val="Arial1"/>
      <charset val="1"/>
      <b val="1"/>
      <color rgb="FF000000"/>
      <sz val="8"/>
    </font>
    <font>
      <name val="Arial"/>
      <charset val="1"/>
      <family val="2"/>
      <b val="1"/>
      <color theme="1"/>
      <sz val="8"/>
    </font>
    <font>
      <name val="Arial"/>
      <charset val="1"/>
      <family val="2"/>
      <b val="1"/>
      <color rgb="FF000000"/>
      <sz val="8"/>
    </font>
    <font>
      <name val="Arial1"/>
      <charset val="1"/>
      <color rgb="FF000000"/>
      <sz val="6"/>
    </font>
    <font>
      <name val="Arial"/>
      <charset val="1"/>
      <family val="2"/>
      <color theme="1"/>
      <sz val="6"/>
    </font>
    <font>
      <name val="Arial"/>
      <charset val="1"/>
      <family val="2"/>
      <color rgb="FF000000"/>
      <sz val="6"/>
    </font>
    <font>
      <name val="Arial1"/>
      <charset val="1"/>
      <color rgb="FF0000FF"/>
      <sz val="6"/>
      <u val="single"/>
    </font>
    <font>
      <name val="Calibri"/>
      <charset val="1"/>
      <family val="2"/>
      <color rgb="FF800080"/>
      <sz val="11"/>
    </font>
    <font>
      <name val="Arial1"/>
      <charset val="1"/>
      <color rgb="FF333399"/>
      <sz val="10"/>
    </font>
    <font>
      <name val="Calibri"/>
      <charset val="1"/>
      <family val="2"/>
      <b val="1"/>
      <color rgb="FF333333"/>
      <sz val="11"/>
    </font>
    <font>
      <name val="Times New Roman"/>
      <charset val="1"/>
      <family val="1"/>
      <color rgb="FF0000FF"/>
      <sz val="10"/>
      <u val="single"/>
    </font>
    <font>
      <name val="Arial1"/>
      <charset val="1"/>
      <color rgb="FFFF9900"/>
      <sz val="10"/>
    </font>
    <font>
      <name val="Calibri"/>
      <charset val="1"/>
      <family val="2"/>
      <i val="1"/>
      <color rgb="FF808080"/>
      <sz val="11"/>
    </font>
    <font>
      <name val="Arial1"/>
      <charset val="1"/>
      <color rgb="FF993300"/>
      <sz val="10"/>
    </font>
    <font>
      <name val="Calibri"/>
      <charset val="1"/>
      <family val="2"/>
      <color theme="1"/>
      <sz val="11"/>
    </font>
    <font>
      <name val="Arial"/>
      <charset val="1"/>
      <family val="2"/>
      <color rgb="FF000000"/>
      <sz val="11"/>
    </font>
    <font>
      <name val="Arial1"/>
      <charset val="1"/>
      <color rgb="FF000000"/>
      <sz val="11"/>
    </font>
    <font>
      <name val="Arial"/>
      <charset val="1"/>
      <family val="2"/>
      <sz val="10"/>
    </font>
    <font>
      <name val="Arial"/>
      <family val="2"/>
      <color rgb="FF000000"/>
      <sz val="10"/>
    </font>
    <font>
      <name val="Arial1"/>
      <charset val="1"/>
      <b val="1"/>
      <color rgb="FF333333"/>
      <sz val="10"/>
    </font>
    <font>
      <name val="Arial"/>
      <charset val="1"/>
      <family val="2"/>
      <b val="1"/>
      <i val="1"/>
      <color rgb="FF000000"/>
      <sz val="11"/>
      <u val="single"/>
    </font>
    <font>
      <name val="Arial1"/>
      <charset val="1"/>
      <b val="1"/>
      <i val="1"/>
      <color rgb="FF000000"/>
      <sz val="10"/>
    </font>
    <font>
      <name val="Calibri"/>
      <charset val="1"/>
      <family val="2"/>
      <color rgb="FF993300"/>
      <sz val="11"/>
    </font>
    <font>
      <name val="Arial"/>
      <family val="2"/>
      <color rgb="FF000000"/>
      <sz val="12"/>
    </font>
    <font>
      <name val="Arial1"/>
      <charset val="1"/>
      <color rgb="FF0000FF"/>
      <sz val="10"/>
    </font>
    <font>
      <name val="Arial1"/>
      <charset val="1"/>
      <color rgb="FFFF0000"/>
      <sz val="10"/>
    </font>
    <font>
      <name val="Calibri"/>
      <charset val="1"/>
      <family val="2"/>
      <b val="1"/>
      <color rgb="FF000000"/>
      <sz val="11"/>
    </font>
    <font>
      <name val="Arial"/>
      <charset val="1"/>
      <family val="2"/>
      <b val="1"/>
      <color rgb="FF000000"/>
      <sz val="9"/>
    </font>
    <font>
      <name val="Arial"/>
      <charset val="1"/>
      <family val="2"/>
      <color rgb="FF000000"/>
      <sz val="9"/>
    </font>
    <font>
      <name val="Arial"/>
      <charset val="1"/>
      <family val="2"/>
      <b val="1"/>
      <color rgb="FF000000"/>
      <sz val="14"/>
    </font>
    <font>
      <name val="Arial"/>
      <charset val="1"/>
      <family val="2"/>
      <b val="1"/>
      <color rgb="FF83CAFF"/>
      <sz val="14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22"/>
    </font>
    <font>
      <name val="Arial"/>
      <charset val="1"/>
      <family val="2"/>
      <color theme="1"/>
      <sz val="10"/>
    </font>
    <font>
      <name val="Arial"/>
      <charset val="1"/>
      <family val="2"/>
      <color rgb="FF000000"/>
      <sz val="10"/>
    </font>
    <font>
      <name val="Arial"/>
      <charset val="1"/>
      <family val="2"/>
      <sz val="14"/>
    </font>
    <font>
      <name val="Arial"/>
      <charset val="1"/>
      <family val="2"/>
      <b val="1"/>
      <sz val="14"/>
    </font>
    <font>
      <name val="Arial1"/>
      <charset val="1"/>
      <sz val="12"/>
    </font>
    <font>
      <name val="Arial1"/>
      <charset val="1"/>
      <b val="1"/>
      <sz val="12"/>
    </font>
    <font>
      <name val="Arial1"/>
      <charset val="1"/>
      <b val="1"/>
      <sz val="12"/>
      <u val="single"/>
    </font>
    <font>
      <name val="Arial"/>
      <charset val="1"/>
      <family val="2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color theme="1"/>
      <sz val="12"/>
    </font>
    <font>
      <name val="Arial"/>
      <charset val="1"/>
      <family val="2"/>
      <sz val="14"/>
      <vertAlign val="superscript"/>
    </font>
    <font>
      <name val="Arial"/>
      <charset val="1"/>
      <family val="2"/>
      <b val="1"/>
      <sz val="12"/>
    </font>
    <font>
      <name val="Arial"/>
      <charset val="1"/>
      <family val="2"/>
      <b val="1"/>
      <sz val="14"/>
      <u val="single"/>
    </font>
    <font>
      <name val="Arial"/>
      <charset val="1"/>
      <family val="2"/>
      <b val="1"/>
      <sz val="14"/>
      <vertAlign val="superscript"/>
    </font>
    <font>
      <name val="Arial"/>
      <charset val="1"/>
      <family val="2"/>
      <color rgb="FF000000"/>
      <sz val="18"/>
    </font>
    <font>
      <name val="Arial"/>
      <charset val="1"/>
      <family val="2"/>
      <b val="1"/>
      <color rgb="FF000000"/>
      <sz val="18"/>
    </font>
    <font>
      <name val="Arial"/>
      <charset val="1"/>
      <family val="2"/>
      <b val="1"/>
      <sz val="18"/>
    </font>
    <font>
      <name val="Arial"/>
      <charset val="1"/>
      <family val="2"/>
      <b val="1"/>
      <color theme="1"/>
      <sz val="18"/>
    </font>
    <font>
      <name val="Arial"/>
      <charset val="1"/>
      <family val="2"/>
      <color theme="1"/>
      <sz val="18"/>
    </font>
    <font>
      <name val="Arial"/>
      <charset val="1"/>
      <family val="2"/>
      <sz val="18"/>
    </font>
    <font>
      <name val="Arial"/>
      <charset val="1"/>
      <family val="2"/>
      <b val="1"/>
      <strike val="1"/>
      <sz val="12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Arial"/>
      <charset val="1"/>
      <family val="2"/>
      <color rgb="FF000000"/>
      <sz val="14"/>
    </font>
    <font>
      <name val="Arial"/>
      <charset val="1"/>
      <family val="2"/>
      <sz val="14"/>
      <u val="single"/>
    </font>
    <font>
      <name val="Arial1"/>
      <charset val="1"/>
      <color rgb="FF000000"/>
      <sz val="14"/>
    </font>
    <font>
      <name val="Calibri"/>
      <charset val="1"/>
      <family val="2"/>
      <b val="1"/>
      <color rgb="FF000000"/>
      <sz val="14"/>
    </font>
    <font>
      <name val="Arial1"/>
      <charset val="1"/>
      <b val="1"/>
      <sz val="14"/>
    </font>
    <font>
      <name val="Arial1"/>
      <charset val="1"/>
      <b val="1"/>
      <i val="1"/>
      <sz val="14"/>
    </font>
    <font>
      <name val="Arial1"/>
      <charset val="1"/>
      <sz val="14"/>
    </font>
    <font>
      <name val="Arial1"/>
      <charset val="1"/>
      <b val="1"/>
      <color rgb="FF000000"/>
      <sz val="14"/>
    </font>
    <font>
      <name val="Arial"/>
      <charset val="1"/>
      <family val="2"/>
      <color theme="1"/>
      <sz val="11"/>
    </font>
    <font>
      <name val="Arial"/>
      <charset val="1"/>
      <family val="2"/>
      <color theme="1"/>
      <sz val="14"/>
    </font>
    <font>
      <name val="Arial"/>
      <charset val="1"/>
      <family val="2"/>
      <color rgb="FF000000"/>
      <sz val="16"/>
    </font>
    <font>
      <name val="Arial"/>
      <charset val="1"/>
      <family val="2"/>
      <b val="1"/>
      <color rgb="FF000000"/>
      <sz val="16"/>
    </font>
    <font>
      <name val="Arial1"/>
      <charset val="1"/>
      <color rgb="FF000000"/>
      <sz val="16"/>
    </font>
    <font>
      <name val="Arial"/>
      <charset val="1"/>
      <family val="2"/>
      <b val="1"/>
      <sz val="16"/>
    </font>
    <font>
      <name val="Arial"/>
      <charset val="1"/>
      <family val="2"/>
      <sz val="16"/>
    </font>
    <font>
      <name val="Arial"/>
      <charset val="1"/>
      <family val="2"/>
      <b val="1"/>
      <color theme="1"/>
      <sz val="16"/>
    </font>
    <font>
      <name val="Arial"/>
      <charset val="1"/>
      <family val="2"/>
      <color theme="1"/>
      <sz val="16"/>
    </font>
    <font>
      <name val="Arial1"/>
      <charset val="1"/>
      <color rgb="FF000000"/>
      <sz val="18"/>
    </font>
    <font>
      <name val="Arial"/>
      <charset val="1"/>
      <family val="2"/>
      <b val="1"/>
      <sz val="18"/>
      <u val="single"/>
    </font>
    <font>
      <name val="Arial"/>
      <charset val="1"/>
      <family val="2"/>
      <color rgb="FF000000"/>
      <sz val="20"/>
    </font>
    <font>
      <name val="Arial"/>
      <charset val="1"/>
      <family val="2"/>
      <b val="1"/>
      <sz val="16"/>
      <vertAlign val="superscript"/>
    </font>
    <font>
      <name val="Arial"/>
      <charset val="1"/>
      <family val="2"/>
      <b val="1"/>
      <i val="1"/>
      <sz val="16"/>
    </font>
    <font>
      <name val="Arial"/>
      <charset val="1"/>
      <family val="2"/>
      <b val="1"/>
      <sz val="16"/>
      <u val="single"/>
    </font>
    <font>
      <name val="Arial1"/>
      <charset val="1"/>
      <sz val="16"/>
    </font>
    <font>
      <name val="Arial"/>
      <charset val="1"/>
      <family val="2"/>
      <i val="1"/>
      <sz val="16"/>
    </font>
    <font>
      <name val="Arial"/>
      <charset val="1"/>
      <family val="2"/>
      <b val="1"/>
      <color rgb="FF000000"/>
      <sz val="16"/>
      <vertAlign val="superscript"/>
    </font>
    <font>
      <name val="Arial"/>
      <charset val="1"/>
      <family val="2"/>
      <i val="1"/>
      <sz val="14"/>
    </font>
    <font>
      <name val="Arial"/>
      <charset val="1"/>
      <family val="2"/>
      <b val="1"/>
      <color theme="1"/>
      <sz val="14"/>
    </font>
    <font>
      <name val="Arial1"/>
      <charset val="1"/>
      <color rgb="FF000000"/>
      <sz val="12"/>
    </font>
    <font>
      <name val="Arial"/>
      <charset val="1"/>
      <family val="2"/>
      <b val="1"/>
      <color rgb="FF000000"/>
      <sz val="14"/>
      <u val="single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i val="1"/>
      <sz val="18"/>
    </font>
    <font>
      <name val="Arial1"/>
      <charset val="1"/>
      <color rgb="FF000000"/>
      <sz val="10"/>
    </font>
  </fonts>
  <fills count="30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F2CC"/>
      </patternFill>
    </fill>
    <fill>
      <patternFill patternType="solid">
        <fgColor rgb="FF99CCFF"/>
        <bgColor rgb="FF83CA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D32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D320"/>
      </patternFill>
    </fill>
    <fill>
      <patternFill patternType="solid">
        <fgColor rgb="FFFFFFCC"/>
        <bgColor rgb="FFFFF2CC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83CAFF"/>
        <bgColor rgb="FF99CCFF"/>
      </patternFill>
    </fill>
    <fill>
      <patternFill patternType="solid">
        <fgColor rgb="FFFFD320"/>
        <bgColor rgb="FFFFCC00"/>
      </patternFill>
    </fill>
    <fill>
      <patternFill patternType="solid">
        <fgColor rgb="FF663300"/>
        <bgColor rgb="FF993300"/>
      </patternFill>
    </fill>
    <fill>
      <patternFill patternType="solid">
        <fgColor rgb="FFFFF2CC"/>
        <bgColor rgb="FFFFFFCC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209">
    <xf numFmtId="0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0" fontId="124" fillId="2" borderId="0" applyAlignment="1">
      <alignment horizontal="left" vertical="center"/>
    </xf>
    <xf numFmtId="167" fontId="124" fillId="2" borderId="0" applyAlignment="1">
      <alignment horizontal="left" vertical="center"/>
    </xf>
    <xf numFmtId="0" fontId="124" fillId="3" borderId="0" applyAlignment="1">
      <alignment horizontal="left" vertical="center"/>
    </xf>
    <xf numFmtId="167" fontId="124" fillId="3" borderId="0" applyAlignment="1">
      <alignment horizontal="left" vertical="center"/>
    </xf>
    <xf numFmtId="0" fontId="124" fillId="4" borderId="0" applyAlignment="1">
      <alignment horizontal="left" vertical="center"/>
    </xf>
    <xf numFmtId="167" fontId="124" fillId="4" borderId="0" applyAlignment="1">
      <alignment horizontal="left" vertical="center"/>
    </xf>
    <xf numFmtId="0" fontId="124" fillId="5" borderId="0" applyAlignment="1">
      <alignment horizontal="left" vertical="center"/>
    </xf>
    <xf numFmtId="167" fontId="124" fillId="5" borderId="0" applyAlignment="1">
      <alignment horizontal="left" vertical="center"/>
    </xf>
    <xf numFmtId="0" fontId="124" fillId="6" borderId="0" applyAlignment="1">
      <alignment horizontal="left" vertical="center"/>
    </xf>
    <xf numFmtId="167" fontId="124" fillId="6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0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0" fontId="124" fillId="8" borderId="0" applyAlignment="1">
      <alignment horizontal="left" vertical="center"/>
    </xf>
    <xf numFmtId="167" fontId="124" fillId="8" borderId="0" applyAlignment="1">
      <alignment horizontal="left" vertical="center"/>
    </xf>
    <xf numFmtId="0" fontId="124" fillId="9" borderId="0" applyAlignment="1">
      <alignment horizontal="left" vertical="center"/>
    </xf>
    <xf numFmtId="167" fontId="124" fillId="9" borderId="0" applyAlignment="1">
      <alignment horizontal="left" vertical="center"/>
    </xf>
    <xf numFmtId="0" fontId="124" fillId="10" borderId="0" applyAlignment="1">
      <alignment horizontal="left" vertical="center"/>
    </xf>
    <xf numFmtId="167" fontId="124" fillId="10" borderId="0" applyAlignment="1">
      <alignment horizontal="left" vertical="center"/>
    </xf>
    <xf numFmtId="0" fontId="124" fillId="5" borderId="0" applyAlignment="1">
      <alignment horizontal="left" vertical="center"/>
    </xf>
    <xf numFmtId="167" fontId="124" fillId="5" borderId="0" applyAlignment="1">
      <alignment horizontal="left" vertical="center"/>
    </xf>
    <xf numFmtId="0" fontId="124" fillId="8" borderId="0" applyAlignment="1">
      <alignment horizontal="left" vertical="center"/>
    </xf>
    <xf numFmtId="167" fontId="124" fillId="8" borderId="0" applyAlignment="1">
      <alignment horizontal="left" vertical="center"/>
    </xf>
    <xf numFmtId="0" fontId="124" fillId="11" borderId="0" applyAlignment="1">
      <alignment horizontal="left" vertical="center"/>
    </xf>
    <xf numFmtId="167" fontId="124" fillId="11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0" fontId="2" fillId="12" borderId="0" applyAlignment="1">
      <alignment horizontal="left" vertical="center"/>
    </xf>
    <xf numFmtId="167" fontId="2" fillId="12" borderId="0" applyAlignment="1">
      <alignment horizontal="left" vertical="center"/>
    </xf>
    <xf numFmtId="0" fontId="2" fillId="9" borderId="0" applyAlignment="1">
      <alignment horizontal="left" vertical="center"/>
    </xf>
    <xf numFmtId="167" fontId="2" fillId="9" borderId="0" applyAlignment="1">
      <alignment horizontal="left" vertical="center"/>
    </xf>
    <xf numFmtId="0" fontId="2" fillId="10" borderId="0" applyAlignment="1">
      <alignment horizontal="left" vertical="center"/>
    </xf>
    <xf numFmtId="167" fontId="2" fillId="10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5" borderId="0" applyAlignment="1">
      <alignment horizontal="left" vertical="center"/>
    </xf>
    <xf numFmtId="167" fontId="2" fillId="15" borderId="0" applyAlignment="1">
      <alignment horizontal="left" vertical="center"/>
    </xf>
    <xf numFmtId="0" fontId="3" fillId="12" borderId="0" applyAlignment="1">
      <alignment horizontal="left" vertical="center"/>
    </xf>
    <xf numFmtId="167" fontId="3" fillId="12" borderId="0" applyAlignment="1">
      <alignment horizontal="left" vertical="center"/>
    </xf>
    <xf numFmtId="0" fontId="3" fillId="9" borderId="0" applyAlignment="1">
      <alignment horizontal="left" vertical="center"/>
    </xf>
    <xf numFmtId="167" fontId="3" fillId="9" borderId="0" applyAlignment="1">
      <alignment horizontal="left" vertical="center"/>
    </xf>
    <xf numFmtId="0" fontId="3" fillId="10" borderId="0" applyAlignment="1">
      <alignment horizontal="left" vertical="center"/>
    </xf>
    <xf numFmtId="167" fontId="3" fillId="10" borderId="0" applyAlignment="1">
      <alignment horizontal="left" vertical="center"/>
    </xf>
    <xf numFmtId="0" fontId="3" fillId="13" borderId="0" applyAlignment="1">
      <alignment horizontal="left" vertical="center"/>
    </xf>
    <xf numFmtId="167" fontId="3" fillId="13" borderId="0" applyAlignment="1">
      <alignment horizontal="left" vertical="center"/>
    </xf>
    <xf numFmtId="0" fontId="3" fillId="14" borderId="0" applyAlignment="1">
      <alignment horizontal="left" vertical="center"/>
    </xf>
    <xf numFmtId="167" fontId="3" fillId="14" borderId="0" applyAlignment="1">
      <alignment horizontal="left" vertical="center"/>
    </xf>
    <xf numFmtId="0" fontId="3" fillId="15" borderId="0" applyAlignment="1">
      <alignment horizontal="left" vertical="center"/>
    </xf>
    <xf numFmtId="167" fontId="3" fillId="15" borderId="0" applyAlignment="1">
      <alignment horizontal="left" vertical="center"/>
    </xf>
    <xf numFmtId="0" fontId="2" fillId="12" borderId="0" applyAlignment="1">
      <alignment horizontal="left" vertical="center"/>
    </xf>
    <xf numFmtId="167" fontId="2" fillId="12" borderId="0" applyAlignment="1">
      <alignment horizontal="left" vertical="center"/>
    </xf>
    <xf numFmtId="0" fontId="2" fillId="9" borderId="0" applyAlignment="1">
      <alignment horizontal="left" vertical="center"/>
    </xf>
    <xf numFmtId="167" fontId="2" fillId="9" borderId="0" applyAlignment="1">
      <alignment horizontal="left" vertical="center"/>
    </xf>
    <xf numFmtId="0" fontId="2" fillId="10" borderId="0" applyAlignment="1">
      <alignment horizontal="left" vertical="center"/>
    </xf>
    <xf numFmtId="167" fontId="2" fillId="10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5" borderId="0" applyAlignment="1">
      <alignment horizontal="left" vertical="center"/>
    </xf>
    <xf numFmtId="167" fontId="2" fillId="15" borderId="0" applyAlignment="1">
      <alignment horizontal="left" vertical="center"/>
    </xf>
    <xf numFmtId="0" fontId="3" fillId="16" borderId="0" applyAlignment="1">
      <alignment horizontal="left" vertical="center"/>
    </xf>
    <xf numFmtId="167" fontId="3" fillId="16" borderId="0" applyAlignment="1">
      <alignment horizontal="left" vertical="center"/>
    </xf>
    <xf numFmtId="0" fontId="3" fillId="17" borderId="0" applyAlignment="1">
      <alignment horizontal="left" vertical="center"/>
    </xf>
    <xf numFmtId="167" fontId="3" fillId="17" borderId="0" applyAlignment="1">
      <alignment horizontal="left" vertical="center"/>
    </xf>
    <xf numFmtId="0" fontId="3" fillId="18" borderId="0" applyAlignment="1">
      <alignment horizontal="left" vertical="center"/>
    </xf>
    <xf numFmtId="167" fontId="3" fillId="18" borderId="0" applyAlignment="1">
      <alignment horizontal="left" vertical="center"/>
    </xf>
    <xf numFmtId="0" fontId="3" fillId="13" borderId="0" applyAlignment="1">
      <alignment horizontal="left" vertical="center"/>
    </xf>
    <xf numFmtId="167" fontId="3" fillId="13" borderId="0" applyAlignment="1">
      <alignment horizontal="left" vertical="center"/>
    </xf>
    <xf numFmtId="0" fontId="3" fillId="14" borderId="0" applyAlignment="1">
      <alignment horizontal="left" vertical="center"/>
    </xf>
    <xf numFmtId="167" fontId="3" fillId="14" borderId="0" applyAlignment="1">
      <alignment horizontal="left" vertical="center"/>
    </xf>
    <xf numFmtId="0" fontId="3" fillId="19" borderId="0" applyAlignment="1">
      <alignment horizontal="left" vertical="center"/>
    </xf>
    <xf numFmtId="167" fontId="3" fillId="19" borderId="0" applyAlignment="1">
      <alignment horizontal="left" vertical="center"/>
    </xf>
    <xf numFmtId="0" fontId="4" fillId="3" borderId="0" applyAlignment="1">
      <alignment horizontal="left" vertical="center"/>
    </xf>
    <xf numFmtId="167" fontId="4" fillId="3" borderId="0" applyAlignment="1">
      <alignment horizontal="left" vertical="center"/>
    </xf>
    <xf numFmtId="0" fontId="5" fillId="7" borderId="1" applyAlignment="1">
      <alignment horizontal="left" vertical="center"/>
    </xf>
    <xf numFmtId="167" fontId="5" fillId="7" borderId="1" applyAlignment="1">
      <alignment horizontal="left" vertical="center"/>
    </xf>
    <xf numFmtId="0" fontId="6" fillId="4" borderId="0" applyAlignment="1">
      <alignment horizontal="left" vertical="center"/>
    </xf>
    <xf numFmtId="167" fontId="6" fillId="4" borderId="0" applyAlignment="1">
      <alignment horizontal="left" vertical="center"/>
    </xf>
    <xf numFmtId="0" fontId="7" fillId="20" borderId="1" applyAlignment="1">
      <alignment horizontal="left" vertical="center"/>
    </xf>
    <xf numFmtId="0" fontId="7" fillId="20" borderId="1" applyAlignment="1">
      <alignment horizontal="left" vertical="center"/>
    </xf>
    <xf numFmtId="167" fontId="7" fillId="20" borderId="1" applyAlignment="1">
      <alignment horizontal="left" vertical="center"/>
    </xf>
    <xf numFmtId="167" fontId="7" fillId="20" borderId="1" applyAlignment="1">
      <alignment horizontal="left" vertical="center"/>
    </xf>
    <xf numFmtId="0" fontId="8" fillId="21" borderId="2" applyAlignment="1">
      <alignment horizontal="left" vertical="center"/>
    </xf>
    <xf numFmtId="167" fontId="8" fillId="21" borderId="2" applyAlignment="1">
      <alignment horizontal="left" vertical="center"/>
    </xf>
    <xf numFmtId="0" fontId="9" fillId="0" borderId="3" applyAlignment="1">
      <alignment horizontal="left" vertical="center"/>
    </xf>
    <xf numFmtId="167" fontId="9" fillId="0" borderId="3" applyAlignment="1">
      <alignment horizontal="left" vertical="center"/>
    </xf>
    <xf numFmtId="0" fontId="10" fillId="0" borderId="0" applyAlignment="1">
      <alignment horizontal="left" vertical="center"/>
    </xf>
    <xf numFmtId="167" fontId="10" fillId="0" borderId="0" applyAlignment="1">
      <alignment horizontal="left" vertical="center"/>
    </xf>
    <xf numFmtId="0" fontId="11" fillId="0" borderId="0" applyAlignment="1">
      <alignment horizontal="left" vertical="center"/>
    </xf>
    <xf numFmtId="167" fontId="11" fillId="0" borderId="0" applyAlignment="1">
      <alignment horizontal="left" vertical="center"/>
    </xf>
    <xf numFmtId="0" fontId="124" fillId="0" borderId="0" applyAlignment="1">
      <alignment horizontal="left" vertical="center"/>
    </xf>
    <xf numFmtId="0" fontId="12" fillId="21" borderId="2" applyAlignment="1">
      <alignment horizontal="left" vertical="center"/>
    </xf>
    <xf numFmtId="167" fontId="12" fillId="21" borderId="2" applyAlignment="1">
      <alignment horizontal="left" vertical="center"/>
    </xf>
    <xf numFmtId="3" fontId="124" fillId="0" borderId="4" applyAlignment="1">
      <alignment horizontal="right"/>
    </xf>
    <xf numFmtId="171" fontId="124" fillId="0" borderId="4" applyAlignment="1">
      <alignment horizontal="right"/>
    </xf>
    <xf numFmtId="0" fontId="13" fillId="0" borderId="4" applyAlignment="1">
      <alignment horizontal="left" vertical="center" wrapText="1"/>
    </xf>
    <xf numFmtId="0" fontId="13" fillId="0" borderId="4" applyAlignment="1">
      <alignment horizontal="left" vertical="center" wrapText="1"/>
    </xf>
    <xf numFmtId="167" fontId="13" fillId="0" borderId="4" applyAlignment="1">
      <alignment horizontal="left" vertical="center" wrapText="1"/>
    </xf>
    <xf numFmtId="167" fontId="13" fillId="0" borderId="4" applyAlignment="1">
      <alignment horizontal="left" vertical="center" wrapText="1"/>
    </xf>
    <xf numFmtId="172" fontId="124" fillId="0" borderId="0" applyAlignment="1">
      <alignment horizontal="left" vertical="center"/>
    </xf>
    <xf numFmtId="173" fontId="124" fillId="0" borderId="0"/>
    <xf numFmtId="0" fontId="14" fillId="20" borderId="1" applyAlignment="1">
      <alignment horizontal="left" vertical="center"/>
    </xf>
    <xf numFmtId="167" fontId="14" fillId="20" borderId="1" applyAlignment="1">
      <alignment horizontal="left" vertical="center"/>
    </xf>
    <xf numFmtId="0" fontId="15" fillId="0" borderId="0" applyAlignment="1">
      <alignment horizontal="left" vertical="center"/>
    </xf>
    <xf numFmtId="167" fontId="15" fillId="0" borderId="0" applyAlignment="1">
      <alignment horizontal="left" vertical="center"/>
    </xf>
    <xf numFmtId="0" fontId="16" fillId="0" borderId="5" applyAlignment="1">
      <alignment horizontal="left" vertical="center"/>
    </xf>
    <xf numFmtId="167" fontId="16" fillId="0" borderId="5" applyAlignment="1">
      <alignment horizontal="left" vertical="center"/>
    </xf>
    <xf numFmtId="0" fontId="17" fillId="0" borderId="6" applyAlignment="1">
      <alignment horizontal="left" vertical="center"/>
    </xf>
    <xf numFmtId="167" fontId="17" fillId="0" borderId="6" applyAlignment="1">
      <alignment horizontal="left" vertical="center"/>
    </xf>
    <xf numFmtId="0" fontId="18" fillId="0" borderId="7" applyAlignment="1">
      <alignment horizontal="left" vertical="center"/>
    </xf>
    <xf numFmtId="167" fontId="18" fillId="0" borderId="7" applyAlignment="1">
      <alignment horizontal="left" vertical="center"/>
    </xf>
    <xf numFmtId="0" fontId="18" fillId="0" borderId="0" applyAlignment="1">
      <alignment horizontal="left" vertical="center"/>
    </xf>
    <xf numFmtId="167" fontId="18" fillId="0" borderId="0" applyAlignment="1">
      <alignment horizontal="left" vertical="center"/>
    </xf>
    <xf numFmtId="0" fontId="8" fillId="21" borderId="2" applyAlignment="1">
      <alignment horizontal="left" vertical="center"/>
    </xf>
    <xf numFmtId="167" fontId="8" fillId="21" borderId="2" applyAlignment="1">
      <alignment horizontal="left" vertical="center"/>
    </xf>
    <xf numFmtId="0" fontId="18" fillId="0" borderId="0" applyAlignment="1">
      <alignment horizontal="left" vertical="center"/>
    </xf>
    <xf numFmtId="167" fontId="18" fillId="0" borderId="0" applyAlignment="1">
      <alignment horizontal="left" vertical="center"/>
    </xf>
    <xf numFmtId="0" fontId="5" fillId="7" borderId="1" applyAlignment="1">
      <alignment horizontal="left" vertical="center"/>
    </xf>
    <xf numFmtId="167" fontId="5" fillId="7" borderId="1" applyAlignment="1">
      <alignment horizontal="left" vertical="center"/>
    </xf>
    <xf numFmtId="0" fontId="19" fillId="0" borderId="0" applyAlignment="1">
      <alignment horizontal="left" vertical="center"/>
    </xf>
    <xf numFmtId="0" fontId="19" fillId="0" borderId="0" applyAlignment="1">
      <alignment horizontal="left" vertical="center"/>
    </xf>
    <xf numFmtId="167" fontId="19" fillId="0" borderId="0" applyAlignment="1">
      <alignment horizontal="left" vertical="center"/>
    </xf>
    <xf numFmtId="167" fontId="19" fillId="0" borderId="0" applyAlignment="1">
      <alignment horizontal="left" vertical="center"/>
    </xf>
    <xf numFmtId="0" fontId="20" fillId="0" borderId="0" applyAlignment="1">
      <alignment horizontal="left" vertical="center"/>
    </xf>
    <xf numFmtId="167" fontId="20" fillId="0" borderId="0" applyAlignment="1">
      <alignment horizontal="left" vertical="center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6" fontId="21" fillId="6" borderId="4" applyAlignment="1">
      <alignment horizontal="right"/>
    </xf>
    <xf numFmtId="176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4" fontId="21" fillId="3" borderId="4" applyAlignment="1">
      <alignment horizontal="right"/>
    </xf>
    <xf numFmtId="174" fontId="21" fillId="3" borderId="4" applyAlignment="1">
      <alignment horizontal="right"/>
    </xf>
    <xf numFmtId="165" fontId="22" fillId="0" borderId="8" applyAlignment="1">
      <alignment horizontal="left"/>
    </xf>
    <xf numFmtId="165" fontId="22" fillId="0" borderId="8" applyAlignment="1">
      <alignment horizontal="left"/>
    </xf>
    <xf numFmtId="0" fontId="23" fillId="4" borderId="0" applyAlignment="1">
      <alignment horizontal="left" vertical="center"/>
    </xf>
    <xf numFmtId="167" fontId="23" fillId="4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center" vertical="center"/>
    </xf>
    <xf numFmtId="167" fontId="124" fillId="20" borderId="0" applyAlignment="1">
      <alignment horizontal="center" vertical="center"/>
    </xf>
    <xf numFmtId="167" fontId="124" fillId="20" borderId="0" applyAlignment="1">
      <alignment horizontal="left" vertical="center"/>
    </xf>
    <xf numFmtId="0" fontId="24" fillId="0" borderId="5" applyAlignment="1">
      <alignment horizontal="left" vertical="center"/>
    </xf>
    <xf numFmtId="167" fontId="24" fillId="0" borderId="5" applyAlignment="1">
      <alignment horizontal="left" vertical="center"/>
    </xf>
    <xf numFmtId="167" fontId="25" fillId="0" borderId="0" applyAlignment="1">
      <alignment horizontal="left" vertical="center"/>
    </xf>
    <xf numFmtId="0" fontId="25" fillId="0" borderId="0" applyAlignment="1">
      <alignment horizontal="left" vertical="center"/>
    </xf>
    <xf numFmtId="0" fontId="26" fillId="0" borderId="6" applyAlignment="1">
      <alignment horizontal="left" vertical="center"/>
    </xf>
    <xf numFmtId="167" fontId="26" fillId="0" borderId="6" applyAlignment="1">
      <alignment horizontal="left" vertical="center"/>
    </xf>
    <xf numFmtId="167" fontId="27" fillId="0" borderId="0" applyAlignment="1">
      <alignment horizontal="left" vertical="center"/>
    </xf>
    <xf numFmtId="0" fontId="27" fillId="0" borderId="0" applyAlignment="1">
      <alignment horizontal="left" vertical="center"/>
    </xf>
    <xf numFmtId="0" fontId="28" fillId="0" borderId="0" applyAlignment="1">
      <alignment horizontal="left" vertical="center"/>
    </xf>
    <xf numFmtId="0" fontId="29" fillId="0" borderId="7" applyAlignment="1">
      <alignment horizontal="left" vertical="center"/>
    </xf>
    <xf numFmtId="167" fontId="29" fillId="0" borderId="7" applyAlignment="1">
      <alignment horizontal="left" vertical="center"/>
    </xf>
    <xf numFmtId="167" fontId="28" fillId="0" borderId="0" applyAlignment="1">
      <alignment horizontal="left" vertical="center"/>
    </xf>
    <xf numFmtId="167" fontId="28" fillId="0" borderId="0" applyAlignment="1">
      <alignment horizontal="left" vertical="center"/>
    </xf>
    <xf numFmtId="0" fontId="29" fillId="0" borderId="0" applyAlignment="1">
      <alignment horizontal="left" vertical="center"/>
    </xf>
    <xf numFmtId="167" fontId="29" fillId="0" borderId="0" applyAlignment="1">
      <alignment horizontal="left" vertical="center"/>
    </xf>
    <xf numFmtId="0" fontId="30" fillId="0" borderId="0" applyAlignment="1">
      <alignment horizontal="center"/>
    </xf>
    <xf numFmtId="0" fontId="28" fillId="0" borderId="0" applyAlignment="1">
      <alignment horizontal="left" vertical="center"/>
    </xf>
    <xf numFmtId="49" fontId="13" fillId="0" borderId="0" applyAlignment="1">
      <alignment horizontal="left" vertical="center"/>
    </xf>
    <xf numFmtId="49" fontId="31" fillId="0" borderId="0" applyAlignment="1">
      <alignment vertical="center"/>
    </xf>
    <xf numFmtId="49" fontId="32" fillId="0" borderId="0" applyAlignment="1">
      <alignment vertical="center"/>
    </xf>
    <xf numFmtId="49" fontId="13" fillId="0" borderId="0" applyAlignment="1">
      <alignment horizontal="left" vertical="center"/>
    </xf>
    <xf numFmtId="0" fontId="33" fillId="0" borderId="0" applyAlignment="1">
      <alignment horizontal="left" vertical="center" textRotation="90"/>
    </xf>
    <xf numFmtId="167" fontId="33" fillId="0" borderId="0" applyAlignment="1">
      <alignment horizontal="left" vertical="center" textRotation="90"/>
    </xf>
    <xf numFmtId="0" fontId="33" fillId="0" borderId="0" applyAlignment="1">
      <alignment horizontal="left" vertical="center" textRotation="90"/>
    </xf>
    <xf numFmtId="167" fontId="33" fillId="0" borderId="0" applyAlignment="1">
      <alignment horizontal="left" vertical="center" textRotation="90"/>
    </xf>
    <xf numFmtId="0" fontId="30" fillId="0" borderId="0" applyAlignment="1">
      <alignment horizontal="center" textRotation="90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 vertical="center"/>
    </xf>
    <xf numFmtId="171" fontId="124" fillId="7" borderId="4" applyAlignment="1">
      <alignment horizontal="right" vertical="center"/>
    </xf>
    <xf numFmtId="171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0" fontId="9" fillId="0" borderId="3" applyAlignment="1">
      <alignment horizontal="left" vertical="center"/>
    </xf>
    <xf numFmtId="167" fontId="9" fillId="0" borderId="3" applyAlignment="1">
      <alignment horizontal="left" vertical="center"/>
    </xf>
    <xf numFmtId="0" fontId="35" fillId="0" borderId="0" applyAlignment="1">
      <alignment horizontal="left" vertical="center"/>
    </xf>
    <xf numFmtId="0" fontId="36" fillId="0" borderId="0" applyAlignment="1">
      <alignment vertical="center"/>
    </xf>
    <xf numFmtId="167" fontId="37" fillId="0" borderId="0" applyAlignment="1">
      <alignment vertical="center"/>
    </xf>
    <xf numFmtId="167" fontId="35" fillId="0" borderId="0" applyAlignment="1">
      <alignment horizontal="left" vertical="center"/>
    </xf>
    <xf numFmtId="0" fontId="38" fillId="0" borderId="0" applyAlignment="1">
      <alignment horizontal="left" vertical="center"/>
    </xf>
    <xf numFmtId="0" fontId="39" fillId="0" borderId="0" applyAlignment="1">
      <alignment vertical="center"/>
    </xf>
    <xf numFmtId="167" fontId="40" fillId="0" borderId="0" applyAlignment="1">
      <alignment vertical="center"/>
    </xf>
    <xf numFmtId="167" fontId="38" fillId="0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0" fontId="34" fillId="0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0" fontId="41" fillId="0" borderId="0" applyAlignment="1">
      <alignment horizontal="left" vertical="center"/>
    </xf>
    <xf numFmtId="0" fontId="42" fillId="3" borderId="0" applyAlignment="1">
      <alignment horizontal="left" vertical="center"/>
    </xf>
    <xf numFmtId="167" fontId="42" fillId="3" borderId="0" applyAlignment="1">
      <alignment horizontal="left" vertical="center"/>
    </xf>
    <xf numFmtId="0" fontId="43" fillId="7" borderId="1" applyAlignment="1">
      <alignment horizontal="left" vertical="center"/>
    </xf>
    <xf numFmtId="0" fontId="43" fillId="7" borderId="1" applyAlignment="1">
      <alignment horizontal="left" vertical="center"/>
    </xf>
    <xf numFmtId="167" fontId="43" fillId="7" borderId="1" applyAlignment="1">
      <alignment horizontal="left" vertical="center"/>
    </xf>
    <xf numFmtId="167" fontId="43" fillId="7" borderId="1" applyAlignment="1">
      <alignment horizontal="left" vertical="center"/>
    </xf>
    <xf numFmtId="174" fontId="21" fillId="0" borderId="4" applyAlignment="1" applyProtection="1">
      <alignment horizontal="right"/>
      <protection locked="0" hidden="0"/>
    </xf>
    <xf numFmtId="175" fontId="21" fillId="0" borderId="4" applyAlignment="1" applyProtection="1">
      <alignment horizontal="right"/>
      <protection locked="0" hidden="0"/>
    </xf>
    <xf numFmtId="180" fontId="21" fillId="0" borderId="4" applyAlignment="1" applyProtection="1">
      <alignment horizontal="right"/>
      <protection locked="0" hidden="0"/>
    </xf>
    <xf numFmtId="181" fontId="21" fillId="0" borderId="4" applyAlignment="1" applyProtection="1">
      <alignment horizontal="right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 vertical="center"/>
      <protection locked="0" hidden="0"/>
    </xf>
    <xf numFmtId="171" fontId="124" fillId="22" borderId="4" applyAlignment="1" applyProtection="1">
      <alignment horizontal="right" vertical="center"/>
      <protection locked="0" hidden="0"/>
    </xf>
    <xf numFmtId="171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0" fontId="124" fillId="23" borderId="10" applyAlignment="1">
      <alignment horizontal="left" vertical="center"/>
    </xf>
    <xf numFmtId="167" fontId="124" fillId="23" borderId="10" applyAlignment="1">
      <alignment horizontal="left" vertical="center"/>
    </xf>
    <xf numFmtId="0" fontId="2" fillId="16" borderId="0" applyAlignment="1">
      <alignment horizontal="left" vertical="center"/>
    </xf>
    <xf numFmtId="167" fontId="2" fillId="16" borderId="0" applyAlignment="1">
      <alignment horizontal="left" vertical="center"/>
    </xf>
    <xf numFmtId="0" fontId="2" fillId="17" borderId="0" applyAlignment="1">
      <alignment horizontal="left" vertical="center"/>
    </xf>
    <xf numFmtId="167" fontId="2" fillId="17" borderId="0" applyAlignment="1">
      <alignment horizontal="left" vertical="center"/>
    </xf>
    <xf numFmtId="0" fontId="2" fillId="18" borderId="0" applyAlignment="1">
      <alignment horizontal="left" vertical="center"/>
    </xf>
    <xf numFmtId="167" fontId="2" fillId="18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9" borderId="0" applyAlignment="1">
      <alignment horizontal="left" vertical="center"/>
    </xf>
    <xf numFmtId="167" fontId="2" fillId="19" borderId="0" applyAlignment="1">
      <alignment horizontal="left" vertical="center"/>
    </xf>
    <xf numFmtId="0" fontId="6" fillId="4" borderId="0" applyAlignment="1">
      <alignment horizontal="left" vertical="center"/>
    </xf>
    <xf numFmtId="167" fontId="6" fillId="4" borderId="0" applyAlignment="1">
      <alignment horizontal="left" vertical="center"/>
    </xf>
    <xf numFmtId="0" fontId="44" fillId="20" borderId="11" applyAlignment="1">
      <alignment horizontal="left" vertical="center"/>
    </xf>
    <xf numFmtId="167" fontId="44" fillId="20" borderId="11" applyAlignment="1">
      <alignment horizontal="left" vertical="center"/>
    </xf>
    <xf numFmtId="0" fontId="124" fillId="0" borderId="0" applyAlignment="1">
      <alignment horizontal="left" vertical="center"/>
    </xf>
    <xf numFmtId="0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0" fontId="45" fillId="0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167" fontId="45" fillId="0" borderId="0" applyAlignment="1">
      <alignment horizontal="left" vertical="center"/>
    </xf>
    <xf numFmtId="0" fontId="41" fillId="0" borderId="0" applyAlignment="1">
      <alignment horizontal="left" vertical="center"/>
    </xf>
    <xf numFmtId="167" fontId="41" fillId="0" borderId="0" applyAlignment="1">
      <alignment horizontal="left" vertical="center"/>
    </xf>
    <xf numFmtId="0" fontId="46" fillId="0" borderId="3" applyAlignment="1">
      <alignment horizontal="left" vertical="center"/>
    </xf>
    <xf numFmtId="167" fontId="46" fillId="0" borderId="3" applyAlignment="1">
      <alignment horizontal="left" vertical="center"/>
    </xf>
    <xf numFmtId="0" fontId="47" fillId="0" borderId="0" applyAlignment="1">
      <alignment horizontal="left" vertical="center"/>
    </xf>
    <xf numFmtId="167" fontId="47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85" fontId="124" fillId="0" borderId="0" applyAlignment="1">
      <alignment horizontal="left" vertical="center"/>
    </xf>
    <xf numFmtId="185" fontId="124" fillId="0" borderId="0" applyAlignment="1">
      <alignment horizontal="left" vertical="center"/>
    </xf>
    <xf numFmtId="186" fontId="124" fillId="0" borderId="0" applyAlignment="1">
      <alignment horizontal="left" vertical="center"/>
    </xf>
    <xf numFmtId="187" fontId="124" fillId="0" borderId="0"/>
    <xf numFmtId="186" fontId="124" fillId="0" borderId="0" applyAlignment="1">
      <alignment horizontal="left" vertical="center"/>
    </xf>
    <xf numFmtId="187" fontId="124" fillId="0" borderId="0"/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0" fontId="124" fillId="0" borderId="0" applyAlignment="1">
      <alignment horizontal="left"/>
    </xf>
    <xf numFmtId="0" fontId="48" fillId="24" borderId="0" applyAlignment="1">
      <alignment horizontal="left" vertical="center"/>
    </xf>
    <xf numFmtId="167" fontId="48" fillId="24" borderId="0" applyAlignment="1">
      <alignment horizontal="left" vertical="center"/>
    </xf>
    <xf numFmtId="0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0" fontId="49" fillId="0" borderId="0"/>
    <xf numFmtId="167" fontId="1" fillId="0" borderId="0"/>
    <xf numFmtId="0" fontId="49" fillId="0" borderId="0"/>
    <xf numFmtId="167" fontId="1" fillId="0" borderId="0"/>
    <xf numFmtId="0" fontId="50" fillId="0" borderId="0"/>
    <xf numFmtId="0" fontId="1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167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51" fillId="0" borderId="0" applyAlignment="1">
      <alignment horizontal="left"/>
    </xf>
    <xf numFmtId="0" fontId="51" fillId="0" borderId="0" applyAlignment="1">
      <alignment horizontal="left"/>
    </xf>
    <xf numFmtId="0" fontId="51" fillId="0" borderId="0" applyAlignment="1">
      <alignment horizontal="left"/>
    </xf>
    <xf numFmtId="167" fontId="51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51" fillId="0" borderId="0" applyAlignment="1">
      <alignment horizontal="left"/>
    </xf>
    <xf numFmtId="0" fontId="51" fillId="0" borderId="0" applyAlignment="1">
      <alignment horizontal="left"/>
    </xf>
    <xf numFmtId="167" fontId="51" fillId="0" borderId="0" applyAlignment="1">
      <alignment horizontal="left"/>
    </xf>
    <xf numFmtId="0" fontId="51" fillId="0" borderId="0" applyAlignment="1">
      <alignment horizontal="left"/>
    </xf>
    <xf numFmtId="167" fontId="51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51" fillId="0" borderId="0" applyAlignment="1">
      <alignment horizontal="left"/>
    </xf>
    <xf numFmtId="0" fontId="124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52" fillId="0" borderId="0"/>
    <xf numFmtId="0" fontId="52" fillId="0" borderId="0"/>
    <xf numFmtId="165" fontId="53" fillId="0" borderId="0" applyAlignment="1">
      <alignment horizontal="left"/>
    </xf>
    <xf numFmtId="0" fontId="124" fillId="0" borderId="0" applyAlignment="1">
      <alignment horizontal="left"/>
    </xf>
    <xf numFmtId="0" fontId="124" fillId="23" borderId="10" applyAlignment="1">
      <alignment horizontal="left" vertical="center"/>
    </xf>
    <xf numFmtId="167" fontId="124" fillId="23" borderId="10" applyAlignment="1">
      <alignment horizontal="left" vertical="center"/>
    </xf>
    <xf numFmtId="0" fontId="124" fillId="23" borderId="10" applyAlignment="1">
      <alignment horizontal="left" vertical="center"/>
    </xf>
    <xf numFmtId="167" fontId="124" fillId="23" borderId="10" applyAlignment="1">
      <alignment horizontal="left" vertical="center"/>
    </xf>
    <xf numFmtId="0" fontId="124" fillId="0" borderId="4" applyAlignment="1">
      <alignment horizontal="right" vertical="center"/>
    </xf>
    <xf numFmtId="0" fontId="124" fillId="0" borderId="4" applyAlignment="1">
      <alignment horizontal="right" vertical="center"/>
    </xf>
    <xf numFmtId="167" fontId="124" fillId="0" borderId="4" applyAlignment="1">
      <alignment horizontal="right" vertical="center"/>
    </xf>
    <xf numFmtId="167" fontId="124" fillId="0" borderId="4" applyAlignment="1">
      <alignment horizontal="right" vertical="center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54" fillId="20" borderId="11" applyAlignment="1">
      <alignment horizontal="left" vertical="center"/>
    </xf>
    <xf numFmtId="0" fontId="54" fillId="20" borderId="11" applyAlignment="1">
      <alignment horizontal="left" vertical="center"/>
    </xf>
    <xf numFmtId="167" fontId="54" fillId="20" borderId="11" applyAlignment="1">
      <alignment horizontal="left" vertical="center"/>
    </xf>
    <xf numFmtId="167" fontId="54" fillId="20" borderId="11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/>
    <xf numFmtId="166" fontId="124" fillId="0" borderId="0" applyAlignment="1">
      <alignment horizontal="left" vertical="center"/>
    </xf>
    <xf numFmtId="179" fontId="124" fillId="0" borderId="0"/>
    <xf numFmtId="166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7" fontId="13" fillId="0" borderId="0" applyAlignment="1">
      <alignment horizontal="left" vertical="center"/>
    </xf>
    <xf numFmtId="0" fontId="13" fillId="0" borderId="0" applyAlignment="1">
      <alignment horizontal="left" vertical="center"/>
    </xf>
    <xf numFmtId="167" fontId="13" fillId="0" borderId="0" applyAlignment="1">
      <alignment horizontal="left" vertical="center"/>
    </xf>
    <xf numFmtId="0" fontId="55" fillId="0" borderId="0"/>
    <xf numFmtId="0" fontId="13" fillId="0" borderId="0" applyAlignment="1">
      <alignment horizontal="left" vertical="center"/>
    </xf>
    <xf numFmtId="0" fontId="56" fillId="0" borderId="0" applyAlignment="1">
      <alignment horizontal="right" vertical="center"/>
    </xf>
    <xf numFmtId="167" fontId="56" fillId="0" borderId="0" applyAlignment="1">
      <alignment horizontal="right" vertical="center"/>
    </xf>
    <xf numFmtId="0" fontId="56" fillId="0" borderId="0" applyAlignment="1">
      <alignment horizontal="right" vertical="center"/>
    </xf>
    <xf numFmtId="167" fontId="56" fillId="0" borderId="0" applyAlignment="1">
      <alignment horizontal="right" vertical="center"/>
    </xf>
    <xf numFmtId="190" fontId="55" fillId="0" borderId="0"/>
    <xf numFmtId="0" fontId="42" fillId="3" borderId="0" applyAlignment="1">
      <alignment horizontal="left" vertical="center"/>
    </xf>
    <xf numFmtId="167" fontId="42" fillId="3" borderId="0" applyAlignment="1">
      <alignment horizontal="left" vertical="center"/>
    </xf>
    <xf numFmtId="0" fontId="44" fillId="20" borderId="11" applyAlignment="1">
      <alignment horizontal="left" vertical="center"/>
    </xf>
    <xf numFmtId="167" fontId="44" fillId="20" borderId="11" applyAlignment="1">
      <alignment horizontal="left" vertical="center"/>
    </xf>
    <xf numFmtId="0" fontId="57" fillId="24" borderId="0" applyAlignment="1">
      <alignment horizontal="left" vertical="center"/>
    </xf>
    <xf numFmtId="167" fontId="57" fillId="24" borderId="0" applyAlignment="1">
      <alignment horizontal="left" vertical="center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 vertical="center"/>
    </xf>
    <xf numFmtId="171" fontId="124" fillId="25" borderId="4" applyAlignment="1">
      <alignment horizontal="right" vertical="center"/>
    </xf>
    <xf numFmtId="17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4" fillId="20" borderId="1" applyAlignment="1">
      <alignment horizontal="left" vertical="center"/>
    </xf>
    <xf numFmtId="167" fontId="14" fillId="20" borderId="1" applyAlignment="1">
      <alignment horizontal="left" vertical="center"/>
    </xf>
    <xf numFmtId="0" fontId="20" fillId="0" borderId="0" applyAlignment="1">
      <alignment horizontal="left" vertical="center"/>
    </xf>
    <xf numFmtId="167" fontId="20" fillId="0" borderId="0" applyAlignment="1">
      <alignment horizontal="left" vertical="center"/>
    </xf>
    <xf numFmtId="0" fontId="47" fillId="0" borderId="0" applyAlignment="1">
      <alignment horizontal="left" vertical="center"/>
    </xf>
    <xf numFmtId="167" fontId="47" fillId="0" borderId="0" applyAlignment="1">
      <alignment horizontal="left" vertical="center"/>
    </xf>
    <xf numFmtId="0" fontId="15" fillId="0" borderId="0" applyAlignment="1">
      <alignment horizontal="left" vertical="center"/>
    </xf>
    <xf numFmtId="167" fontId="15" fillId="0" borderId="0" applyAlignment="1">
      <alignment horizontal="left" vertical="center"/>
    </xf>
    <xf numFmtId="0" fontId="27" fillId="0" borderId="0" applyAlignment="1">
      <alignment horizontal="left" vertical="center"/>
    </xf>
    <xf numFmtId="167" fontId="27" fillId="0" borderId="0" applyAlignment="1">
      <alignment horizontal="left" vertical="center"/>
    </xf>
    <xf numFmtId="0" fontId="13" fillId="0" borderId="13" applyAlignment="1">
      <alignment horizontal="left" vertical="center"/>
    </xf>
    <xf numFmtId="167" fontId="13" fillId="0" borderId="13" applyAlignment="1">
      <alignment horizontal="left" vertical="center"/>
    </xf>
    <xf numFmtId="0" fontId="15" fillId="0" borderId="0" applyAlignment="1">
      <alignment horizontal="left" vertical="center"/>
    </xf>
    <xf numFmtId="0" fontId="16" fillId="0" borderId="5" applyAlignment="1">
      <alignment horizontal="left" vertical="center"/>
    </xf>
    <xf numFmtId="167" fontId="16" fillId="0" borderId="5" applyAlignment="1">
      <alignment horizontal="left" vertical="center"/>
    </xf>
    <xf numFmtId="0" fontId="17" fillId="0" borderId="6" applyAlignment="1">
      <alignment horizontal="left" vertical="center"/>
    </xf>
    <xf numFmtId="167" fontId="17" fillId="0" borderId="6" applyAlignment="1">
      <alignment horizontal="left" vertical="center"/>
    </xf>
    <xf numFmtId="0" fontId="18" fillId="0" borderId="7" applyAlignment="1">
      <alignment horizontal="left" vertical="center"/>
    </xf>
    <xf numFmtId="167" fontId="18" fillId="0" borderId="7" applyAlignment="1">
      <alignment horizontal="left" vertical="center"/>
    </xf>
    <xf numFmtId="167" fontId="15" fillId="0" borderId="0" applyAlignment="1">
      <alignment horizontal="left" vertical="center"/>
    </xf>
    <xf numFmtId="0" fontId="15" fillId="0" borderId="0" applyAlignment="1">
      <alignment horizontal="left" vertical="center"/>
    </xf>
    <xf numFmtId="0" fontId="59" fillId="0" borderId="0" applyAlignment="1" applyProtection="1">
      <alignment horizontal="left" vertical="center"/>
      <protection locked="0" hidden="0"/>
    </xf>
    <xf numFmtId="167" fontId="59" fillId="0" borderId="0" applyAlignment="1" applyProtection="1">
      <alignment horizontal="left" vertical="center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0" fontId="60" fillId="0" borderId="0" applyAlignment="1">
      <alignment horizontal="left" vertical="center"/>
    </xf>
    <xf numFmtId="0" fontId="60" fillId="0" borderId="0" applyAlignment="1">
      <alignment horizontal="left" vertical="center"/>
    </xf>
    <xf numFmtId="167" fontId="60" fillId="0" borderId="0" applyAlignment="1">
      <alignment horizontal="left" vertical="center"/>
    </xf>
    <xf numFmtId="167" fontId="60" fillId="0" borderId="0" applyAlignment="1">
      <alignment horizontal="left" vertical="center"/>
    </xf>
    <xf numFmtId="0" fontId="2" fillId="16" borderId="0" applyAlignment="1">
      <alignment horizontal="left" vertical="center"/>
    </xf>
    <xf numFmtId="167" fontId="2" fillId="16" borderId="0" applyAlignment="1">
      <alignment horizontal="left" vertical="center"/>
    </xf>
    <xf numFmtId="0" fontId="2" fillId="17" borderId="0" applyAlignment="1">
      <alignment horizontal="left" vertical="center"/>
    </xf>
    <xf numFmtId="167" fontId="2" fillId="17" borderId="0" applyAlignment="1">
      <alignment horizontal="left" vertical="center"/>
    </xf>
    <xf numFmtId="0" fontId="2" fillId="18" borderId="0" applyAlignment="1">
      <alignment horizontal="left" vertical="center"/>
    </xf>
    <xf numFmtId="167" fontId="2" fillId="18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9" borderId="0" applyAlignment="1">
      <alignment horizontal="left" vertical="center"/>
    </xf>
    <xf numFmtId="167" fontId="2" fillId="19" borderId="0" applyAlignment="1">
      <alignment horizontal="left" vertical="center"/>
    </xf>
    <xf numFmtId="0" fontId="61" fillId="0" borderId="13" applyAlignment="1">
      <alignment horizontal="left" vertical="center"/>
    </xf>
    <xf numFmtId="167" fontId="61" fillId="0" borderId="13" applyAlignment="1">
      <alignment horizontal="left" vertical="center"/>
    </xf>
    <xf numFmtId="0" fontId="100" fillId="0" borderId="0"/>
  </cellStyleXfs>
  <cellXfs count="1023">
    <xf numFmtId="0" fontId="0" fillId="0" borderId="0" applyAlignment="1" pivotButton="0" quotePrefix="0" xfId="0">
      <alignment horizontal="left" vertical="center"/>
    </xf>
    <xf numFmtId="0" fontId="0" fillId="0" borderId="0" applyAlignment="1" applyProtection="1" pivotButton="0" quotePrefix="0" xfId="0">
      <alignment horizontal="left" vertical="center"/>
      <protection locked="1" hidden="1"/>
    </xf>
    <xf numFmtId="0" fontId="106" fillId="0" borderId="0" applyAlignment="1" applyProtection="1" pivotButton="0" quotePrefix="0" xfId="0">
      <alignment horizontal="left" vertical="center"/>
      <protection locked="0" hidden="0"/>
    </xf>
    <xf numFmtId="0" fontId="105" fillId="0" borderId="4" applyAlignment="1" applyProtection="1" pivotButton="0" quotePrefix="0" xfId="0">
      <alignment horizontal="center" vertical="center"/>
      <protection locked="0" hidden="0"/>
    </xf>
    <xf numFmtId="0" fontId="105" fillId="0" borderId="4" applyAlignment="1" applyProtection="1" pivotButton="0" quotePrefix="0" xfId="704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left" vertical="center" wrapText="1"/>
      <protection locked="1" hidden="1"/>
    </xf>
    <xf numFmtId="0" fontId="0" fillId="26" borderId="0" applyAlignment="1" applyProtection="1" pivotButton="0" quotePrefix="0" xfId="0">
      <alignment horizontal="center" vertical="center" wrapText="1"/>
      <protection locked="1" hidden="1"/>
    </xf>
    <xf numFmtId="0" fontId="0" fillId="26" borderId="0" applyAlignment="1" applyProtection="1" pivotButton="0" quotePrefix="0" xfId="0">
      <alignment horizontal="left" vertical="center" wrapText="1"/>
      <protection locked="1" hidden="1"/>
    </xf>
    <xf numFmtId="0" fontId="62" fillId="26" borderId="0" applyAlignment="1" applyProtection="1" pivotButton="0" quotePrefix="0" xfId="0">
      <alignment horizontal="left" vertical="center" wrapText="1"/>
      <protection locked="1" hidden="1"/>
    </xf>
    <xf numFmtId="0" fontId="63" fillId="26" borderId="0" applyAlignment="1" applyProtection="1" pivotButton="0" quotePrefix="0" xfId="0">
      <alignment horizontal="left" vertical="center" wrapText="1"/>
      <protection locked="1" hidden="1"/>
    </xf>
    <xf numFmtId="0" fontId="64" fillId="26" borderId="0" applyAlignment="1" applyProtection="1" pivotButton="0" quotePrefix="0" xfId="0">
      <alignment horizontal="left" vertical="center" wrapText="1"/>
      <protection locked="1" hidden="1"/>
    </xf>
    <xf numFmtId="0" fontId="64" fillId="26" borderId="0" applyAlignment="1" applyProtection="1" pivotButton="0" quotePrefix="0" xfId="0">
      <alignment horizontal="left" vertical="center"/>
      <protection locked="1" hidden="1"/>
    </xf>
    <xf numFmtId="0" fontId="65" fillId="26" borderId="0" applyAlignment="1" applyProtection="1" pivotButton="0" quotePrefix="0" xfId="0">
      <alignment horizontal="left" vertical="center"/>
      <protection locked="1" hidden="1"/>
    </xf>
    <xf numFmtId="0" fontId="66" fillId="26" borderId="0" applyAlignment="1" applyProtection="1" pivotButton="0" quotePrefix="0" xfId="0">
      <alignment horizontal="left" vertical="center"/>
      <protection locked="1" hidden="1"/>
    </xf>
    <xf numFmtId="0" fontId="0" fillId="28" borderId="0" applyAlignment="1" applyProtection="1" pivotButton="0" quotePrefix="0" xfId="0">
      <alignment horizontal="left" vertical="center" wrapText="1"/>
      <protection locked="1" hidden="1"/>
    </xf>
    <xf numFmtId="0" fontId="64" fillId="0" borderId="0" applyAlignment="1" applyProtection="1" pivotButton="0" quotePrefix="0" xfId="0">
      <alignment horizontal="left" vertical="center" wrapText="1"/>
      <protection locked="1" hidden="1"/>
    </xf>
    <xf numFmtId="0" fontId="0" fillId="0" borderId="0" applyProtection="1" pivotButton="0" quotePrefix="0" xfId="0">
      <protection locked="0" hidden="0"/>
    </xf>
    <xf numFmtId="0" fontId="31" fillId="0" borderId="0" applyProtection="1" pivotButton="0" quotePrefix="0" xfId="0">
      <protection locked="0" hidden="0"/>
    </xf>
    <xf numFmtId="0" fontId="68" fillId="0" borderId="0" applyProtection="1" pivotButton="0" quotePrefix="0" xfId="0">
      <protection locked="0" hidden="0"/>
    </xf>
    <xf numFmtId="164" fontId="124" fillId="29" borderId="14" applyAlignment="1" applyProtection="1" pivotButton="0" quotePrefix="0" xfId="636">
      <alignment vertical="center"/>
      <protection locked="0" hidden="0"/>
    </xf>
    <xf numFmtId="0" fontId="69" fillId="25" borderId="0" applyAlignment="1" applyProtection="1" pivotButton="0" quotePrefix="0" xfId="0">
      <alignment horizontal="left" vertical="center"/>
      <protection locked="0" hidden="0"/>
    </xf>
    <xf numFmtId="0" fontId="69" fillId="25" borderId="0" applyAlignment="1" pivotButton="0" quotePrefix="0" xfId="0">
      <alignment horizontal="left" vertical="center"/>
    </xf>
    <xf numFmtId="0" fontId="69" fillId="25" borderId="0" applyAlignment="1" applyProtection="1" pivotButton="0" quotePrefix="0" xfId="0">
      <alignment vertical="center"/>
      <protection locked="0" hidden="0"/>
    </xf>
    <xf numFmtId="0" fontId="69" fillId="25" borderId="0" applyAlignment="1" applyProtection="1" pivotButton="0" quotePrefix="0" xfId="0">
      <alignment horizontal="left"/>
      <protection locked="0" hidden="0"/>
    </xf>
    <xf numFmtId="0" fontId="69" fillId="25" borderId="0" applyAlignment="1" applyProtection="1" pivotButton="0" quotePrefix="0" xfId="635">
      <alignment horizontal="left"/>
      <protection locked="0" hidden="0"/>
    </xf>
    <xf numFmtId="0" fontId="69" fillId="25" borderId="0" applyAlignment="1" applyProtection="1" pivotButton="0" quotePrefix="0" xfId="635">
      <alignment horizontal="center" vertical="center"/>
      <protection locked="0" hidden="0"/>
    </xf>
    <xf numFmtId="0" fontId="69" fillId="0" borderId="0" applyAlignment="1" applyProtection="1" pivotButton="0" quotePrefix="0" xfId="0">
      <alignment horizontal="left" vertical="center"/>
      <protection locked="0" hidden="0"/>
    </xf>
    <xf numFmtId="0" fontId="69" fillId="0" borderId="0" applyAlignment="1" pivotButton="0" quotePrefix="0" xfId="704">
      <alignment horizontal="left"/>
    </xf>
    <xf numFmtId="164" fontId="124" fillId="25" borderId="0" applyAlignment="1" applyProtection="1" pivotButton="0" quotePrefix="0" xfId="636">
      <alignment vertical="center"/>
      <protection locked="0" hidden="0"/>
    </xf>
    <xf numFmtId="0" fontId="69" fillId="0" borderId="0" applyAlignment="1" pivotButton="0" quotePrefix="0" xfId="704">
      <alignment horizontal="center"/>
    </xf>
    <xf numFmtId="0" fontId="69" fillId="25" borderId="0" applyAlignment="1" applyProtection="1" pivotButton="0" quotePrefix="0" xfId="704">
      <alignment horizontal="left" vertical="center" wrapText="1"/>
      <protection locked="0" hidden="0"/>
    </xf>
    <xf numFmtId="0" fontId="69" fillId="0" borderId="0" applyAlignment="1" applyProtection="1" pivotButton="0" quotePrefix="0" xfId="704">
      <alignment horizontal="left" vertical="center" wrapText="1"/>
      <protection locked="0" hidden="0"/>
    </xf>
    <xf numFmtId="0" fontId="69" fillId="0" borderId="0" applyAlignment="1" pivotButton="0" quotePrefix="0" xfId="635">
      <alignment horizontal="left"/>
    </xf>
    <xf numFmtId="0" fontId="69" fillId="0" borderId="0" applyProtection="1" pivotButton="0" quotePrefix="0" xfId="635">
      <protection locked="0" hidden="0"/>
    </xf>
    <xf numFmtId="0" fontId="69" fillId="0" borderId="0" applyAlignment="1" pivotButton="0" quotePrefix="0" xfId="0">
      <alignment vertical="center"/>
    </xf>
    <xf numFmtId="0" fontId="69" fillId="0" borderId="0" applyAlignment="1" applyProtection="1" pivotButton="0" quotePrefix="0" xfId="0">
      <alignment vertical="center"/>
      <protection locked="0" hidden="0"/>
    </xf>
    <xf numFmtId="0" fontId="69" fillId="0" borderId="0" applyAlignment="1" applyProtection="1" pivotButton="0" quotePrefix="0" xfId="635">
      <alignment horizontal="left"/>
      <protection locked="0" hidden="0"/>
    </xf>
    <xf numFmtId="0" fontId="69" fillId="0" borderId="0" applyAlignment="1" applyProtection="1" pivotButton="0" quotePrefix="0" xfId="635">
      <alignment horizontal="center"/>
      <protection locked="0" hidden="0"/>
    </xf>
    <xf numFmtId="0" fontId="70" fillId="0" borderId="0" applyAlignment="1" applyProtection="1" pivotButton="0" quotePrefix="0" xfId="0">
      <alignment horizontal="left" vertical="center"/>
      <protection locked="1" hidden="1"/>
    </xf>
    <xf numFmtId="0" fontId="70" fillId="0" borderId="0" applyAlignment="1" applyProtection="1" pivotButton="0" quotePrefix="0" xfId="0">
      <alignment horizontal="center" vertical="center"/>
      <protection locked="1" hidden="1"/>
    </xf>
    <xf numFmtId="165" fontId="71" fillId="0" borderId="0" applyAlignment="1" applyProtection="1" pivotButton="0" quotePrefix="0" xfId="714">
      <alignment horizontal="center" vertical="center" wrapText="1"/>
      <protection locked="1" hidden="1"/>
    </xf>
    <xf numFmtId="0" fontId="71" fillId="0" borderId="0" applyAlignment="1" applyProtection="1" pivotButton="0" quotePrefix="0" xfId="0">
      <alignment horizontal="left" vertical="center"/>
      <protection locked="1" hidden="1"/>
    </xf>
    <xf numFmtId="49" fontId="71" fillId="0" borderId="0" applyAlignment="1" applyProtection="1" pivotButton="0" quotePrefix="0" xfId="0">
      <alignment horizontal="center" vertical="center"/>
      <protection locked="1" hidden="1"/>
    </xf>
    <xf numFmtId="49" fontId="71" fillId="0" borderId="0" applyAlignment="1" applyProtection="1" pivotButton="0" quotePrefix="0" xfId="0">
      <alignment horizontal="left" vertical="center"/>
      <protection locked="1" hidden="1"/>
    </xf>
    <xf numFmtId="0" fontId="71" fillId="0" borderId="4" applyAlignment="1" applyProtection="1" pivotButton="0" quotePrefix="0" xfId="0">
      <alignment horizontal="center" vertical="center"/>
      <protection locked="1" hidden="1"/>
    </xf>
    <xf numFmtId="0" fontId="71" fillId="0" borderId="14" applyAlignment="1" applyProtection="1" pivotButton="0" quotePrefix="0" xfId="628">
      <alignment horizontal="center" vertical="center"/>
      <protection locked="1" hidden="1"/>
    </xf>
    <xf numFmtId="0" fontId="70" fillId="0" borderId="14" applyAlignment="1" applyProtection="1" pivotButton="0" quotePrefix="0" xfId="628">
      <alignment horizontal="left" vertical="center" wrapText="1"/>
      <protection locked="1" hidden="1"/>
    </xf>
    <xf numFmtId="0" fontId="70" fillId="0" borderId="4" applyAlignment="1" applyProtection="1" pivotButton="0" quotePrefix="0" xfId="628">
      <alignment horizontal="left" vertical="center" wrapText="1"/>
      <protection locked="1" hidden="1"/>
    </xf>
    <xf numFmtId="0" fontId="70" fillId="0" borderId="4" applyAlignment="1" applyProtection="1" pivotButton="0" quotePrefix="0" xfId="628">
      <alignment horizontal="center" vertical="center" wrapText="1"/>
      <protection locked="1" hidden="1"/>
    </xf>
    <xf numFmtId="0" fontId="70" fillId="0" borderId="0" applyAlignment="1" applyProtection="1" pivotButton="0" quotePrefix="0" xfId="0">
      <alignment horizontal="left" vertical="center" wrapText="1"/>
      <protection locked="1" hidden="1"/>
    </xf>
    <xf numFmtId="0" fontId="70" fillId="0" borderId="4" applyAlignment="1" applyProtection="1" pivotButton="0" quotePrefix="0" xfId="0">
      <alignment horizontal="left" vertical="center" wrapText="1"/>
      <protection locked="1" hidden="1"/>
    </xf>
    <xf numFmtId="0" fontId="70" fillId="0" borderId="0" applyAlignment="1" applyProtection="1" pivotButton="0" quotePrefix="0" xfId="0">
      <alignment horizontal="center" vertical="center" wrapText="1"/>
      <protection locked="1" hidden="1"/>
    </xf>
    <xf numFmtId="0" fontId="72" fillId="0" borderId="0" applyAlignment="1" pivotButton="0" quotePrefix="0" xfId="0">
      <alignment horizontal="left" vertical="center"/>
    </xf>
    <xf numFmtId="165" fontId="73" fillId="0" borderId="0" applyAlignment="1" pivotButton="0" quotePrefix="0" xfId="714">
      <alignment horizontal="right" vertical="top" wrapText="1"/>
    </xf>
    <xf numFmtId="0" fontId="72" fillId="0" borderId="0" applyAlignment="1" applyProtection="1" pivotButton="0" quotePrefix="0" xfId="0">
      <alignment horizontal="left" vertical="center"/>
      <protection locked="0" hidden="0"/>
    </xf>
    <xf numFmtId="49" fontId="72" fillId="0" borderId="0" applyAlignment="1" applyProtection="1" pivotButton="0" quotePrefix="0" xfId="0">
      <alignment horizontal="center" vertical="center"/>
      <protection locked="0" hidden="0"/>
    </xf>
    <xf numFmtId="165" fontId="72" fillId="0" borderId="0" applyAlignment="1" applyProtection="1" pivotButton="0" quotePrefix="0" xfId="714">
      <alignment horizontal="center" vertical="center" wrapText="1"/>
      <protection locked="0" hidden="0"/>
    </xf>
    <xf numFmtId="49" fontId="72" fillId="0" borderId="0" applyAlignment="1" applyProtection="1" pivotButton="0" quotePrefix="0" xfId="0">
      <alignment horizontal="left" vertical="center"/>
      <protection locked="0" hidden="0"/>
    </xf>
    <xf numFmtId="0" fontId="72" fillId="0" borderId="15" applyAlignment="1" pivotButton="0" quotePrefix="0" xfId="635">
      <alignment horizontal="left" vertical="center"/>
    </xf>
    <xf numFmtId="0" fontId="72" fillId="0" borderId="0" applyAlignment="1" pivotButton="0" quotePrefix="0" xfId="635">
      <alignment horizontal="left" vertical="center"/>
    </xf>
    <xf numFmtId="0" fontId="73" fillId="0" borderId="4" applyAlignment="1" pivotButton="0" quotePrefix="0" xfId="0">
      <alignment horizontal="center" vertical="center" wrapText="1"/>
    </xf>
    <xf numFmtId="0" fontId="73" fillId="0" borderId="12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16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left" vertical="center" wrapText="1"/>
    </xf>
    <xf numFmtId="0" fontId="75" fillId="0" borderId="4" applyAlignment="1" pivotButton="0" quotePrefix="0" xfId="0">
      <alignment horizontal="left" vertical="center"/>
    </xf>
    <xf numFmtId="0" fontId="72" fillId="25" borderId="4" applyAlignment="1" applyProtection="1" pivotButton="0" quotePrefix="0" xfId="636">
      <alignment horizontal="center" vertical="center"/>
      <protection locked="1" hidden="1"/>
    </xf>
    <xf numFmtId="164" fontId="72" fillId="29" borderId="4" applyAlignment="1" applyProtection="1" pivotButton="0" quotePrefix="0" xfId="636">
      <alignment horizontal="center" vertical="center"/>
      <protection locked="0" hidden="0"/>
    </xf>
    <xf numFmtId="0" fontId="72" fillId="0" borderId="4" applyAlignment="1" pivotButton="0" quotePrefix="0" xfId="613">
      <alignment horizontal="center" vertical="center"/>
    </xf>
    <xf numFmtId="0" fontId="74" fillId="0" borderId="18" applyAlignment="1" pivotButton="0" quotePrefix="0" xfId="0">
      <alignment horizontal="left" vertical="center" wrapText="1"/>
    </xf>
    <xf numFmtId="0" fontId="72" fillId="0" borderId="4" applyAlignment="1" pivotButton="0" quotePrefix="0" xfId="0">
      <alignment horizontal="left" vertical="center"/>
    </xf>
    <xf numFmtId="166" fontId="72" fillId="29" borderId="4" applyAlignment="1" applyProtection="1" pivotButton="0" quotePrefix="0" xfId="636">
      <alignment horizontal="center" vertical="center"/>
      <protection locked="0" hidden="0"/>
    </xf>
    <xf numFmtId="0" fontId="72" fillId="0" borderId="4" applyAlignment="1" pivotButton="0" quotePrefix="0" xfId="0">
      <alignment vertical="center"/>
    </xf>
    <xf numFmtId="0" fontId="66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top"/>
    </xf>
    <xf numFmtId="165" fontId="76" fillId="0" borderId="20" applyAlignment="1" pivotButton="0" quotePrefix="0" xfId="714">
      <alignment horizontal="right" vertical="center" wrapText="1"/>
    </xf>
    <xf numFmtId="0" fontId="66" fillId="0" borderId="0" applyAlignment="1" applyProtection="1" pivotButton="0" quotePrefix="0" xfId="0">
      <alignment horizontal="left" vertical="center"/>
      <protection locked="0" hidden="0"/>
    </xf>
    <xf numFmtId="49" fontId="66" fillId="0" borderId="0" applyAlignment="1" applyProtection="1" pivotButton="0" quotePrefix="0" xfId="0">
      <alignment horizontal="center" vertical="center"/>
      <protection locked="0" hidden="0"/>
    </xf>
    <xf numFmtId="165" fontId="66" fillId="0" borderId="0" applyAlignment="1" applyProtection="1" pivotButton="0" quotePrefix="0" xfId="714">
      <alignment horizontal="center" vertical="center" wrapText="1"/>
      <protection locked="0" hidden="0"/>
    </xf>
    <xf numFmtId="49" fontId="66" fillId="0" borderId="0" applyAlignment="1" applyProtection="1" pivotButton="0" quotePrefix="0" xfId="0">
      <alignment horizontal="left" vertical="center"/>
      <protection locked="0" hidden="0"/>
    </xf>
    <xf numFmtId="0" fontId="66" fillId="0" borderId="15" applyAlignment="1" pivotButton="0" quotePrefix="0" xfId="635">
      <alignment horizontal="left" vertical="center"/>
    </xf>
    <xf numFmtId="0" fontId="66" fillId="0" borderId="0" applyAlignment="1" pivotButton="0" quotePrefix="0" xfId="635">
      <alignment horizontal="left" vertical="center"/>
    </xf>
    <xf numFmtId="0" fontId="76" fillId="0" borderId="4" applyAlignment="1" pivotButton="0" quotePrefix="0" xfId="0">
      <alignment horizontal="center" vertical="center" wrapText="1"/>
    </xf>
    <xf numFmtId="0" fontId="76" fillId="0" borderId="21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 wrapText="1"/>
    </xf>
    <xf numFmtId="0" fontId="77" fillId="0" borderId="16" applyAlignment="1" pivotButton="0" quotePrefix="0" xfId="0">
      <alignment horizontal="left" vertical="center" wrapText="1"/>
    </xf>
    <xf numFmtId="0" fontId="76" fillId="0" borderId="0" applyAlignment="1" pivotButton="0" quotePrefix="0" xfId="0">
      <alignment horizontal="left" vertical="center" wrapText="1"/>
    </xf>
    <xf numFmtId="0" fontId="66" fillId="25" borderId="21" applyAlignment="1" applyProtection="1" pivotButton="0" quotePrefix="0" xfId="636">
      <alignment horizontal="left" vertical="center"/>
      <protection locked="1" hidden="1"/>
    </xf>
    <xf numFmtId="164" fontId="66" fillId="29" borderId="4" applyAlignment="1" applyProtection="1" pivotButton="0" quotePrefix="0" xfId="613">
      <alignment horizontal="left" vertical="center"/>
      <protection locked="0" hidden="0"/>
    </xf>
    <xf numFmtId="0" fontId="66" fillId="0" borderId="4" applyAlignment="1" pivotButton="0" quotePrefix="0" xfId="0">
      <alignment horizontal="left" vertical="center"/>
    </xf>
    <xf numFmtId="0" fontId="75" fillId="0" borderId="21" applyAlignment="1" pivotButton="0" quotePrefix="0" xfId="0">
      <alignment horizontal="left" vertical="center"/>
    </xf>
    <xf numFmtId="0" fontId="66" fillId="29" borderId="4" applyAlignment="1" applyProtection="1" pivotButton="0" quotePrefix="0" xfId="613">
      <alignment horizontal="left" vertical="center"/>
      <protection locked="0" hidden="0"/>
    </xf>
    <xf numFmtId="167" fontId="78" fillId="25" borderId="0" applyAlignment="1" applyProtection="1" pivotButton="0" quotePrefix="0" xfId="645">
      <alignment horizontal="center" vertical="center" wrapText="1"/>
      <protection locked="1" hidden="1"/>
    </xf>
    <xf numFmtId="167" fontId="78" fillId="25" borderId="0" applyAlignment="1" applyProtection="1" pivotButton="0" quotePrefix="0" xfId="0">
      <alignment horizontal="center" vertical="center"/>
      <protection locked="0" hidden="1"/>
    </xf>
    <xf numFmtId="0" fontId="66" fillId="25" borderId="0" applyAlignment="1" applyProtection="1" pivotButton="0" quotePrefix="0" xfId="636">
      <alignment horizontal="center" vertical="center" wrapText="1"/>
      <protection locked="1" hidden="1"/>
    </xf>
    <xf numFmtId="0" fontId="70" fillId="0" borderId="0" applyAlignment="1" applyProtection="1" pivotButton="0" quotePrefix="0" xfId="0">
      <alignment vertical="center"/>
      <protection locked="1" hidden="1"/>
    </xf>
    <xf numFmtId="0" fontId="70" fillId="0" borderId="0" applyAlignment="1" applyProtection="1" pivotButton="0" quotePrefix="0" xfId="0">
      <alignment horizontal="left" vertical="top"/>
      <protection locked="1" hidden="1"/>
    </xf>
    <xf numFmtId="165" fontId="71" fillId="0" borderId="0" applyAlignment="1" applyProtection="1" pivotButton="0" quotePrefix="0" xfId="714">
      <alignment horizontal="right" vertical="top" wrapText="1"/>
      <protection locked="1" hidden="1"/>
    </xf>
    <xf numFmtId="49" fontId="71" fillId="0" borderId="0" applyAlignment="1" applyProtection="1" pivotButton="0" quotePrefix="0" xfId="0">
      <alignment horizontal="left" vertical="top"/>
      <protection locked="1" hidden="1"/>
    </xf>
    <xf numFmtId="0" fontId="70" fillId="0" borderId="0" applyProtection="1" pivotButton="0" quotePrefix="0" xfId="0">
      <protection locked="0" hidden="0"/>
    </xf>
    <xf numFmtId="49" fontId="70" fillId="0" borderId="0" applyAlignment="1" applyProtection="1" pivotButton="0" quotePrefix="0" xfId="0">
      <alignment horizontal="left"/>
      <protection locked="0" hidden="0"/>
    </xf>
    <xf numFmtId="0" fontId="70" fillId="0" borderId="0" applyAlignment="1" applyProtection="1" pivotButton="0" quotePrefix="0" xfId="0">
      <alignment horizontal="left" vertical="center"/>
      <protection locked="0" hidden="0"/>
    </xf>
    <xf numFmtId="165" fontId="70" fillId="0" borderId="0" applyAlignment="1" applyProtection="1" pivotButton="0" quotePrefix="0" xfId="714">
      <alignment horizontal="center" vertical="center" wrapText="1"/>
      <protection locked="0" hidden="0"/>
    </xf>
    <xf numFmtId="49" fontId="70" fillId="0" borderId="0" applyProtection="1" pivotButton="0" quotePrefix="0" xfId="0">
      <protection locked="0" hidden="0"/>
    </xf>
    <xf numFmtId="165" fontId="70" fillId="0" borderId="0" applyAlignment="1" applyProtection="1" pivotButton="0" quotePrefix="0" xfId="714">
      <alignment horizontal="left" vertical="top" wrapText="1"/>
      <protection locked="0" hidden="0"/>
    </xf>
    <xf numFmtId="0" fontId="70" fillId="0" borderId="0" applyProtection="1" pivotButton="0" quotePrefix="0" xfId="0">
      <protection locked="1" hidden="1"/>
    </xf>
    <xf numFmtId="165" fontId="70" fillId="0" borderId="0" applyAlignment="1" applyProtection="1" pivotButton="0" quotePrefix="0" xfId="714">
      <alignment horizontal="left" vertical="top" wrapText="1"/>
      <protection locked="1" hidden="1"/>
    </xf>
    <xf numFmtId="0" fontId="70" fillId="0" borderId="15" applyAlignment="1" applyProtection="1" pivotButton="0" quotePrefix="0" xfId="0">
      <alignment vertical="center"/>
      <protection locked="1" hidden="1"/>
    </xf>
    <xf numFmtId="0" fontId="70" fillId="0" borderId="15" applyAlignment="1" applyProtection="1" pivotButton="0" quotePrefix="0" xfId="635">
      <alignment horizontal="left" vertical="top"/>
      <protection locked="1" hidden="1"/>
    </xf>
    <xf numFmtId="0" fontId="70" fillId="0" borderId="0" applyAlignment="1" applyProtection="1" pivotButton="0" quotePrefix="0" xfId="635">
      <alignment horizontal="left"/>
      <protection locked="1" hidden="1"/>
    </xf>
    <xf numFmtId="0" fontId="71" fillId="0" borderId="4" applyAlignment="1" applyProtection="1" pivotButton="0" quotePrefix="0" xfId="0">
      <alignment vertical="center" wrapText="1"/>
      <protection locked="1" hidden="1"/>
    </xf>
    <xf numFmtId="0" fontId="71" fillId="0" borderId="4" applyAlignment="1" applyProtection="1" pivotButton="0" quotePrefix="0" xfId="0">
      <alignment horizontal="center" vertical="center" wrapText="1"/>
      <protection locked="1" hidden="1"/>
    </xf>
    <xf numFmtId="0" fontId="71" fillId="0" borderId="0" applyAlignment="1" applyProtection="1" pivotButton="0" quotePrefix="0" xfId="0">
      <alignment horizontal="center" vertical="center" wrapText="1"/>
      <protection locked="1" hidden="1"/>
    </xf>
    <xf numFmtId="0" fontId="70" fillId="0" borderId="16" applyAlignment="1" applyProtection="1" pivotButton="0" quotePrefix="0" xfId="0">
      <alignment vertical="center"/>
      <protection locked="1" hidden="1"/>
    </xf>
    <xf numFmtId="0" fontId="70" fillId="0" borderId="17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vertical="center" wrapText="1"/>
      <protection locked="1" hidden="1"/>
    </xf>
    <xf numFmtId="0" fontId="75" fillId="29" borderId="4" applyAlignment="1" applyProtection="1" pivotButton="0" quotePrefix="0" xfId="613">
      <alignment horizontal="left" vertical="center"/>
      <protection locked="0" hidden="0"/>
    </xf>
    <xf numFmtId="0" fontId="70" fillId="0" borderId="0" applyAlignment="1" applyProtection="1" pivotButton="0" quotePrefix="0" xfId="0">
      <alignment vertical="center" wrapText="1"/>
      <protection locked="1" hidden="1"/>
    </xf>
    <xf numFmtId="0" fontId="71" fillId="0" borderId="0" applyAlignment="1" applyProtection="1" pivotButton="0" quotePrefix="0" xfId="0">
      <alignment vertical="center" wrapText="1"/>
      <protection locked="1" hidden="1"/>
    </xf>
    <xf numFmtId="0" fontId="70" fillId="0" borderId="21" applyAlignment="1" applyProtection="1" pivotButton="0" quotePrefix="0" xfId="0">
      <alignment vertical="center" wrapText="1"/>
      <protection locked="1" hidden="1"/>
    </xf>
    <xf numFmtId="0" fontId="71" fillId="0" borderId="22" applyAlignment="1" applyProtection="1" pivotButton="0" quotePrefix="0" xfId="0">
      <alignment horizontal="left" vertical="center"/>
      <protection locked="1" hidden="1"/>
    </xf>
    <xf numFmtId="0" fontId="70" fillId="0" borderId="17" applyAlignment="1" applyProtection="1" pivotButton="0" quotePrefix="0" xfId="0">
      <alignment horizontal="center" vertical="center"/>
      <protection locked="0" hidden="0"/>
    </xf>
    <xf numFmtId="0" fontId="70" fillId="0" borderId="4" applyAlignment="1" applyProtection="1" pivotButton="0" quotePrefix="0" xfId="0">
      <alignment horizontal="left" vertical="center"/>
      <protection locked="1" hidden="1"/>
    </xf>
    <xf numFmtId="167" fontId="70" fillId="0" borderId="4" applyAlignment="1" applyProtection="1" pivotButton="0" quotePrefix="0" xfId="654">
      <alignment horizontal="left" vertical="center" wrapText="1"/>
      <protection locked="1" hidden="1"/>
    </xf>
    <xf numFmtId="0" fontId="71" fillId="0" borderId="4" applyAlignment="1" applyProtection="1" pivotButton="0" quotePrefix="0" xfId="0">
      <alignment horizontal="left" vertical="center"/>
      <protection locked="1" hidden="1"/>
    </xf>
    <xf numFmtId="0" fontId="80" fillId="29" borderId="4" applyAlignment="1" applyProtection="1" pivotButton="0" quotePrefix="0" xfId="613">
      <alignment horizontal="left" vertical="center"/>
      <protection locked="0" hidden="0"/>
    </xf>
    <xf numFmtId="0" fontId="71" fillId="0" borderId="17" applyAlignment="1" applyProtection="1" pivotButton="0" quotePrefix="0" xfId="0">
      <alignment horizontal="center" vertical="center"/>
      <protection locked="0" hidden="0"/>
    </xf>
    <xf numFmtId="0" fontId="70" fillId="0" borderId="0" applyAlignment="1" applyProtection="1" pivotButton="0" quotePrefix="0" xfId="0">
      <alignment vertical="center"/>
      <protection locked="0" hidden="0"/>
    </xf>
    <xf numFmtId="49" fontId="70" fillId="0" borderId="0" applyAlignment="1" applyProtection="1" pivotButton="0" quotePrefix="0" xfId="0">
      <alignment horizontal="left" vertical="center"/>
      <protection locked="0" hidden="0"/>
    </xf>
    <xf numFmtId="0" fontId="70" fillId="0" borderId="0" applyAlignment="1" applyProtection="1" pivotButton="0" quotePrefix="0" xfId="0">
      <alignment horizontal="center" vertical="center"/>
      <protection locked="0" hidden="0"/>
    </xf>
    <xf numFmtId="49" fontId="70" fillId="0" borderId="0" applyAlignment="1" applyProtection="1" pivotButton="0" quotePrefix="0" xfId="0">
      <alignment vertical="center"/>
      <protection locked="0" hidden="0"/>
    </xf>
    <xf numFmtId="165" fontId="70" fillId="0" borderId="0" applyAlignment="1" applyProtection="1" pivotButton="0" quotePrefix="0" xfId="714">
      <alignment horizontal="left" vertical="center" wrapText="1"/>
      <protection locked="0" hidden="0"/>
    </xf>
    <xf numFmtId="165" fontId="70" fillId="0" borderId="0" applyAlignment="1" applyProtection="1" pivotButton="0" quotePrefix="0" xfId="714">
      <alignment horizontal="left" vertical="center" wrapText="1"/>
      <protection locked="1" hidden="1"/>
    </xf>
    <xf numFmtId="0" fontId="70" fillId="0" borderId="0" applyAlignment="1" applyProtection="1" pivotButton="0" quotePrefix="0" xfId="635">
      <alignment horizontal="left" vertical="center"/>
      <protection locked="1" hidden="1"/>
    </xf>
    <xf numFmtId="0" fontId="81" fillId="0" borderId="0" applyAlignment="1" applyProtection="1" pivotButton="0" quotePrefix="0" xfId="636">
      <alignment horizontal="left" vertical="center"/>
      <protection locked="1" hidden="1"/>
    </xf>
    <xf numFmtId="0" fontId="71" fillId="0" borderId="15" applyAlignment="1" applyProtection="1" pivotButton="0" quotePrefix="0" xfId="636">
      <alignment horizontal="left" vertical="center"/>
      <protection locked="1" hidden="1"/>
    </xf>
    <xf numFmtId="0" fontId="71" fillId="0" borderId="4" applyAlignment="1" applyProtection="1" pivotButton="0" quotePrefix="0" xfId="636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center" vertical="center"/>
      <protection locked="1" hidden="1"/>
    </xf>
    <xf numFmtId="0" fontId="71" fillId="0" borderId="21" applyAlignment="1" applyProtection="1" pivotButton="0" quotePrefix="0" xfId="0">
      <alignment horizontal="center" vertical="center" wrapText="1"/>
      <protection locked="1" hidden="1"/>
    </xf>
    <xf numFmtId="0" fontId="81" fillId="0" borderId="21" applyAlignment="1" applyProtection="1" pivotButton="0" quotePrefix="0" xfId="636">
      <alignment horizontal="left" vertical="center"/>
      <protection locked="1" hidden="1"/>
    </xf>
    <xf numFmtId="0" fontId="71" fillId="0" borderId="22" applyAlignment="1" applyProtection="1" pivotButton="0" quotePrefix="0" xfId="636">
      <alignment horizontal="left" vertical="center"/>
      <protection locked="1" hidden="1"/>
    </xf>
    <xf numFmtId="0" fontId="81" fillId="0" borderId="22" applyAlignment="1" applyProtection="1" pivotButton="0" quotePrefix="0" xfId="636">
      <alignment horizontal="left" vertical="center"/>
      <protection locked="1" hidden="1"/>
    </xf>
    <xf numFmtId="0" fontId="70" fillId="0" borderId="12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horizontal="center" vertical="center" wrapText="1"/>
      <protection locked="1" hidden="1"/>
    </xf>
    <xf numFmtId="0" fontId="70" fillId="29" borderId="4" applyAlignment="1" applyProtection="1" pivotButton="0" quotePrefix="0" xfId="613">
      <alignment horizontal="left" vertical="center"/>
      <protection locked="0" hidden="0"/>
    </xf>
    <xf numFmtId="167" fontId="70" fillId="0" borderId="8" applyAlignment="1" applyProtection="1" pivotButton="0" quotePrefix="0" xfId="645">
      <alignment horizontal="center" vertical="center" wrapText="1"/>
      <protection locked="1" hidden="1"/>
    </xf>
    <xf numFmtId="167" fontId="70" fillId="0" borderId="12" applyAlignment="1" applyProtection="1" pivotButton="0" quotePrefix="0" xfId="0">
      <alignment horizontal="center" vertical="center"/>
      <protection locked="1" hidden="1"/>
    </xf>
    <xf numFmtId="0" fontId="70" fillId="0" borderId="9" applyAlignment="1" applyProtection="1" pivotButton="0" quotePrefix="0" xfId="0">
      <alignment horizontal="center" vertical="center" wrapText="1"/>
      <protection locked="1" hidden="1"/>
    </xf>
    <xf numFmtId="0" fontId="71" fillId="0" borderId="9" applyAlignment="1" applyProtection="1" pivotButton="0" quotePrefix="0" xfId="0">
      <alignment horizontal="left" vertical="center"/>
      <protection locked="1" hidden="1"/>
    </xf>
    <xf numFmtId="0" fontId="70" fillId="29" borderId="9" applyAlignment="1" applyProtection="1" pivotButton="0" quotePrefix="0" xfId="613">
      <alignment horizontal="left" vertical="center"/>
      <protection locked="0" hidden="0"/>
    </xf>
    <xf numFmtId="0" fontId="70" fillId="0" borderId="19" applyAlignment="1" applyProtection="1" pivotButton="0" quotePrefix="0" xfId="636">
      <alignment horizontal="center" vertical="center" wrapText="1"/>
      <protection locked="1" hidden="1"/>
    </xf>
    <xf numFmtId="0" fontId="71" fillId="0" borderId="22" applyAlignment="1" applyProtection="1" pivotButton="0" quotePrefix="0" xfId="636">
      <alignment horizontal="left" vertical="center" wrapText="1"/>
      <protection locked="1" hidden="1"/>
    </xf>
    <xf numFmtId="0" fontId="70" fillId="0" borderId="14" applyAlignment="1" applyProtection="1" pivotButton="0" quotePrefix="0" xfId="0">
      <alignment horizontal="center" vertical="center" wrapText="1"/>
      <protection locked="1" hidden="1"/>
    </xf>
    <xf numFmtId="0" fontId="70" fillId="0" borderId="14" applyAlignment="1" applyProtection="1" pivotButton="0" quotePrefix="0" xfId="0">
      <alignment vertical="center" wrapText="1"/>
      <protection locked="1" hidden="1"/>
    </xf>
    <xf numFmtId="0" fontId="70" fillId="29" borderId="14" applyAlignment="1" applyProtection="1" pivotButton="0" quotePrefix="0" xfId="613">
      <alignment horizontal="left" vertical="center"/>
      <protection locked="0" hidden="0"/>
    </xf>
    <xf numFmtId="0" fontId="70" fillId="0" borderId="10" applyAlignment="1" applyProtection="1" pivotButton="0" quotePrefix="0" xfId="0">
      <alignment vertical="center" wrapText="1"/>
      <protection locked="1" hidden="1"/>
    </xf>
    <xf numFmtId="167" fontId="70" fillId="0" borderId="12" applyAlignment="1" applyProtection="1" pivotButton="0" quotePrefix="0" xfId="645">
      <alignment horizontal="center" vertical="center" wrapText="1"/>
      <protection locked="1" hidden="1"/>
    </xf>
    <xf numFmtId="0" fontId="70" fillId="29" borderId="21" applyAlignment="1" applyProtection="1" pivotButton="0" quotePrefix="0" xfId="613">
      <alignment horizontal="left" vertical="center"/>
      <protection locked="0" hidden="0"/>
    </xf>
    <xf numFmtId="0" fontId="70" fillId="0" borderId="4" applyAlignment="1" applyProtection="1" pivotButton="0" quotePrefix="0" xfId="0">
      <alignment vertical="center"/>
      <protection locked="1" hidden="1"/>
    </xf>
    <xf numFmtId="0" fontId="70" fillId="0" borderId="8" applyAlignment="1" applyProtection="1" pivotButton="0" quotePrefix="0" xfId="0">
      <alignment horizontal="center" vertical="center"/>
      <protection locked="1" hidden="1"/>
    </xf>
    <xf numFmtId="0" fontId="70" fillId="0" borderId="12" applyAlignment="1" applyProtection="1" pivotButton="0" quotePrefix="0" xfId="636">
      <alignment horizontal="center" vertical="center" wrapText="1"/>
      <protection locked="1" hidden="1"/>
    </xf>
    <xf numFmtId="0" fontId="70" fillId="25" borderId="4" applyAlignment="1" applyProtection="1" pivotButton="0" quotePrefix="0" xfId="0">
      <alignment horizontal="left" vertical="center" wrapText="1"/>
      <protection locked="1" hidden="1"/>
    </xf>
    <xf numFmtId="167" fontId="70" fillId="0" borderId="4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horizontal="center" vertical="center"/>
      <protection locked="1" hidden="1"/>
    </xf>
    <xf numFmtId="0" fontId="71" fillId="0" borderId="0" applyAlignment="1" applyProtection="1" pivotButton="0" quotePrefix="0" xfId="0">
      <alignment horizontal="right" vertical="top"/>
      <protection locked="1" hidden="1"/>
    </xf>
    <xf numFmtId="0" fontId="70" fillId="0" borderId="15" applyAlignment="1" applyProtection="1" pivotButton="0" quotePrefix="0" xfId="0">
      <alignment horizontal="left" vertical="center"/>
      <protection locked="1" hidden="1"/>
    </xf>
    <xf numFmtId="0" fontId="70" fillId="0" borderId="15" applyAlignment="1" applyProtection="1" pivotButton="0" quotePrefix="0" xfId="0">
      <alignment horizontal="center" vertical="center"/>
      <protection locked="1" hidden="1"/>
    </xf>
    <xf numFmtId="167" fontId="71" fillId="0" borderId="0" applyAlignment="1" applyProtection="1" pivotButton="0" quotePrefix="0" xfId="0">
      <alignment horizontal="center" vertical="center"/>
      <protection locked="1" hidden="1"/>
    </xf>
    <xf numFmtId="167" fontId="70" fillId="0" borderId="4" applyAlignment="1" applyProtection="1" pivotButton="0" quotePrefix="0" xfId="0">
      <alignment vertical="center"/>
      <protection locked="1" hidden="1"/>
    </xf>
    <xf numFmtId="0" fontId="70" fillId="0" borderId="4" applyAlignment="1" applyProtection="1" pivotButton="0" quotePrefix="0" xfId="636">
      <alignment horizontal="center" vertical="center" wrapText="1"/>
      <protection locked="1" hidden="1"/>
    </xf>
    <xf numFmtId="167" fontId="70" fillId="0" borderId="0" applyAlignment="1" applyProtection="1" pivotButton="0" quotePrefix="0" xfId="0">
      <alignment vertical="center"/>
      <protection locked="1" hidden="1"/>
    </xf>
    <xf numFmtId="167" fontId="71" fillId="0" borderId="0" applyAlignment="1" applyProtection="1" pivotButton="0" quotePrefix="0" xfId="0">
      <alignment vertical="center"/>
      <protection locked="1" hidden="1"/>
    </xf>
    <xf numFmtId="167" fontId="70" fillId="0" borderId="21" applyAlignment="1" applyProtection="1" pivotButton="0" quotePrefix="0" xfId="0">
      <alignment vertical="center"/>
      <protection locked="1" hidden="1"/>
    </xf>
    <xf numFmtId="167" fontId="71" fillId="0" borderId="22" applyAlignment="1" applyProtection="1" pivotButton="0" quotePrefix="0" xfId="654">
      <alignment horizontal="left" vertical="center" wrapText="1"/>
      <protection locked="1" hidden="1"/>
    </xf>
    <xf numFmtId="0" fontId="70" fillId="0" borderId="22" applyAlignment="1" applyProtection="1" pivotButton="0" quotePrefix="0" xfId="613">
      <alignment horizontal="left" vertical="center"/>
      <protection locked="1" hidden="1"/>
    </xf>
    <xf numFmtId="167" fontId="70" fillId="0" borderId="14" applyAlignment="1" applyProtection="1" pivotButton="0" quotePrefix="0" xfId="654">
      <alignment horizontal="left" vertical="center" wrapText="1"/>
      <protection locked="1" hidden="1"/>
    </xf>
    <xf numFmtId="167" fontId="70" fillId="0" borderId="14" applyAlignment="1" applyProtection="1" pivotButton="0" quotePrefix="0" xfId="0">
      <alignment horizontal="center" vertical="center"/>
      <protection locked="1" hidden="1"/>
    </xf>
    <xf numFmtId="167" fontId="71" fillId="0" borderId="4" applyAlignment="1" applyProtection="1" pivotButton="0" quotePrefix="0" xfId="654">
      <alignment horizontal="left" vertical="center" wrapText="1"/>
      <protection locked="1" hidden="1"/>
    </xf>
    <xf numFmtId="0" fontId="71" fillId="29" borderId="4" applyAlignment="1" applyProtection="1" pivotButton="0" quotePrefix="0" xfId="613">
      <alignment horizontal="left" vertical="center"/>
      <protection locked="0" hidden="0"/>
    </xf>
    <xf numFmtId="167" fontId="71" fillId="0" borderId="4" applyAlignment="1" applyProtection="1" pivotButton="0" quotePrefix="0" xfId="0">
      <alignment horizontal="center" vertical="center"/>
      <protection locked="1" hidden="1"/>
    </xf>
    <xf numFmtId="167" fontId="70" fillId="0" borderId="0" applyAlignment="1" applyProtection="1" pivotButton="0" quotePrefix="0" xfId="0">
      <alignment horizontal="center" vertical="center"/>
      <protection locked="1" hidden="1"/>
    </xf>
    <xf numFmtId="0" fontId="70" fillId="0" borderId="0" applyAlignment="1" applyProtection="1" pivotButton="0" quotePrefix="0" xfId="636">
      <alignment horizontal="center" vertical="center" wrapText="1"/>
      <protection locked="1" hidden="1"/>
    </xf>
    <xf numFmtId="0" fontId="70" fillId="0" borderId="15" applyAlignment="1" applyProtection="1" pivotButton="0" quotePrefix="0" xfId="635">
      <alignment horizontal="left" vertical="center"/>
      <protection locked="1" hidden="1"/>
    </xf>
    <xf numFmtId="0" fontId="70" fillId="0" borderId="4" applyAlignment="1" pivotButton="0" quotePrefix="0" xfId="0">
      <alignment horizontal="left" vertical="center"/>
    </xf>
    <xf numFmtId="0" fontId="70" fillId="0" borderId="4" applyAlignment="1" pivotButton="0" quotePrefix="0" xfId="0">
      <alignment horizontal="left" vertical="center" wrapText="1"/>
    </xf>
    <xf numFmtId="0" fontId="71" fillId="0" borderId="4" applyAlignment="1" applyProtection="1" pivotButton="0" quotePrefix="0" xfId="0">
      <alignment vertical="center"/>
      <protection locked="0" hidden="0"/>
    </xf>
    <xf numFmtId="0" fontId="70" fillId="0" borderId="0" applyAlignment="1" applyProtection="1" pivotButton="0" quotePrefix="0" xfId="635">
      <alignment horizontal="left" vertical="top"/>
      <protection locked="1" hidden="1"/>
    </xf>
    <xf numFmtId="0" fontId="70" fillId="0" borderId="19" applyAlignment="1" applyProtection="1" pivotButton="0" quotePrefix="0" xfId="0">
      <alignment horizontal="center" vertical="center"/>
      <protection locked="1" hidden="1"/>
    </xf>
    <xf numFmtId="167" fontId="70" fillId="0" borderId="4" applyAlignment="1" applyProtection="1" pivotButton="0" quotePrefix="0" xfId="645">
      <alignment horizontal="center" vertical="center" wrapText="1"/>
      <protection locked="1" hidden="1"/>
    </xf>
    <xf numFmtId="0" fontId="83" fillId="25" borderId="0" applyAlignment="1" applyProtection="1" pivotButton="0" quotePrefix="0" xfId="0">
      <alignment horizontal="left" vertical="center"/>
      <protection locked="1" hidden="1"/>
    </xf>
    <xf numFmtId="0" fontId="83" fillId="25" borderId="0" applyAlignment="1" applyProtection="1" pivotButton="0" quotePrefix="0" xfId="0">
      <alignment horizontal="center" vertical="center"/>
      <protection locked="1" hidden="1"/>
    </xf>
    <xf numFmtId="0" fontId="84" fillId="25" borderId="0" applyAlignment="1" applyProtection="1" pivotButton="0" quotePrefix="0" xfId="0">
      <alignment horizontal="right" vertical="top"/>
      <protection locked="1" hidden="1"/>
    </xf>
    <xf numFmtId="0" fontId="84" fillId="25" borderId="0" applyAlignment="1" applyProtection="1" pivotButton="0" quotePrefix="0" xfId="0">
      <alignment horizontal="center" vertical="center"/>
      <protection locked="1" hidden="1"/>
    </xf>
    <xf numFmtId="49" fontId="84" fillId="25" borderId="0" applyAlignment="1" applyProtection="1" pivotButton="0" quotePrefix="0" xfId="0">
      <alignment horizontal="center" vertical="center"/>
      <protection locked="1" hidden="1"/>
    </xf>
    <xf numFmtId="165" fontId="84" fillId="25" borderId="0" applyAlignment="1" applyProtection="1" pivotButton="0" quotePrefix="0" xfId="714">
      <alignment horizontal="center" vertical="center" wrapText="1"/>
      <protection locked="1" hidden="1"/>
    </xf>
    <xf numFmtId="0" fontId="83" fillId="25" borderId="0" applyAlignment="1" applyProtection="1" pivotButton="0" quotePrefix="0" xfId="0">
      <alignment horizontal="left" vertical="center"/>
      <protection locked="0" hidden="0"/>
    </xf>
    <xf numFmtId="49" fontId="83" fillId="25" borderId="0" applyAlignment="1" applyProtection="1" pivotButton="0" quotePrefix="0" xfId="0">
      <alignment horizontal="center" vertical="center"/>
      <protection locked="0" hidden="0"/>
    </xf>
    <xf numFmtId="49" fontId="83" fillId="25" borderId="0" applyAlignment="1" applyProtection="1" pivotButton="0" quotePrefix="0" xfId="0">
      <alignment horizontal="left" vertical="center"/>
      <protection locked="0" hidden="0"/>
    </xf>
    <xf numFmtId="165" fontId="83" fillId="25" borderId="0" applyAlignment="1" applyProtection="1" pivotButton="0" quotePrefix="0" xfId="714">
      <alignment horizontal="center" vertical="center" wrapText="1"/>
      <protection locked="0" hidden="0"/>
    </xf>
    <xf numFmtId="0" fontId="83" fillId="25" borderId="0" applyAlignment="1" applyProtection="1" pivotButton="0" quotePrefix="0" xfId="0">
      <alignment horizontal="center" vertical="center"/>
      <protection locked="0" hidden="0"/>
    </xf>
    <xf numFmtId="0" fontId="83" fillId="25" borderId="0" applyAlignment="1" applyProtection="1" pivotButton="0" quotePrefix="0" xfId="635">
      <alignment horizontal="center" vertical="center"/>
      <protection locked="1" hidden="1"/>
    </xf>
    <xf numFmtId="0" fontId="83" fillId="25" borderId="0" applyAlignment="1" applyProtection="1" pivotButton="0" quotePrefix="0" xfId="635">
      <alignment horizontal="left" vertical="center"/>
      <protection locked="1" hidden="1"/>
    </xf>
    <xf numFmtId="0" fontId="84" fillId="25" borderId="4" applyAlignment="1" applyProtection="1" pivotButton="0" quotePrefix="0" xfId="0">
      <alignment horizontal="left" vertical="center" wrapText="1"/>
      <protection locked="1" hidden="1"/>
    </xf>
    <xf numFmtId="0" fontId="85" fillId="25" borderId="4" applyAlignment="1" applyProtection="1" pivotButton="0" quotePrefix="0" xfId="0">
      <alignment horizontal="left" vertical="center" wrapText="1"/>
      <protection locked="1" hidden="1"/>
    </xf>
    <xf numFmtId="167" fontId="86" fillId="25" borderId="4" applyAlignment="1" applyProtection="1" pivotButton="0" quotePrefix="0" xfId="654">
      <alignment horizontal="center" vertical="center"/>
      <protection locked="1" hidden="1"/>
    </xf>
    <xf numFmtId="167" fontId="86" fillId="25" borderId="9" applyAlignment="1" applyProtection="1" pivotButton="0" quotePrefix="0" xfId="654">
      <alignment horizontal="center" vertical="center"/>
      <protection locked="1" hidden="1"/>
    </xf>
    <xf numFmtId="0" fontId="84" fillId="25" borderId="0" applyAlignment="1" applyProtection="1" pivotButton="0" quotePrefix="0" xfId="0">
      <alignment horizontal="left" vertical="center"/>
      <protection locked="1" hidden="1"/>
    </xf>
    <xf numFmtId="0" fontId="83" fillId="25" borderId="4" applyAlignment="1" applyProtection="1" pivotButton="0" quotePrefix="0" xfId="0">
      <alignment horizontal="left" vertical="center"/>
      <protection locked="1" hidden="1"/>
    </xf>
    <xf numFmtId="167" fontId="87" fillId="25" borderId="4" applyAlignment="1" applyProtection="1" pivotButton="0" quotePrefix="0" xfId="645">
      <alignment horizontal="center" vertical="center" wrapText="1"/>
      <protection locked="1" hidden="1"/>
    </xf>
    <xf numFmtId="167" fontId="87" fillId="25" borderId="21" applyAlignment="1" applyProtection="1" pivotButton="0" quotePrefix="0" xfId="645">
      <alignment horizontal="left" vertical="center" wrapText="1"/>
      <protection locked="1" hidden="1"/>
    </xf>
    <xf numFmtId="0" fontId="84" fillId="20" borderId="9" applyAlignment="1" applyProtection="1" pivotButton="0" quotePrefix="0" xfId="0">
      <alignment horizontal="left" vertical="center"/>
      <protection locked="1" hidden="1"/>
    </xf>
    <xf numFmtId="0" fontId="83" fillId="29" borderId="4" applyAlignment="1" applyProtection="1" pivotButton="0" quotePrefix="0" xfId="613">
      <alignment horizontal="left" vertical="center"/>
      <protection locked="0" hidden="0"/>
    </xf>
    <xf numFmtId="167" fontId="87" fillId="25" borderId="4" applyAlignment="1" applyProtection="1" pivotButton="0" quotePrefix="0" xfId="0">
      <alignment horizontal="center" vertical="center"/>
      <protection locked="1" hidden="1"/>
    </xf>
    <xf numFmtId="0" fontId="84" fillId="20" borderId="23" applyAlignment="1" applyProtection="1" pivotButton="0" quotePrefix="0" xfId="0">
      <alignment horizontal="left" vertical="center"/>
      <protection locked="1" hidden="1"/>
    </xf>
    <xf numFmtId="0" fontId="83" fillId="25" borderId="4" applyAlignment="1" applyProtection="1" pivotButton="0" quotePrefix="0" xfId="636">
      <alignment horizontal="center" vertical="center" wrapText="1"/>
      <protection locked="1" hidden="1"/>
    </xf>
    <xf numFmtId="0" fontId="84" fillId="20" borderId="14" applyAlignment="1" applyProtection="1" pivotButton="0" quotePrefix="0" xfId="0">
      <alignment horizontal="left" vertical="center"/>
      <protection locked="1" hidden="1"/>
    </xf>
    <xf numFmtId="0" fontId="83" fillId="25" borderId="21" applyAlignment="1" applyProtection="1" pivotButton="0" quotePrefix="0" xfId="0">
      <alignment horizontal="center" vertical="center"/>
      <protection locked="1" hidden="1"/>
    </xf>
    <xf numFmtId="0" fontId="83" fillId="25" borderId="22" applyAlignment="1" applyProtection="1" pivotButton="0" quotePrefix="0" xfId="0">
      <alignment horizontal="center" vertical="center"/>
      <protection locked="1" hidden="1"/>
    </xf>
    <xf numFmtId="0" fontId="83" fillId="25" borderId="15" applyAlignment="1" applyProtection="1" pivotButton="0" quotePrefix="0" xfId="0">
      <alignment horizontal="center" vertical="center"/>
      <protection locked="1" hidden="1"/>
    </xf>
    <xf numFmtId="0" fontId="83" fillId="25" borderId="12" applyAlignment="1" applyProtection="1" pivotButton="0" quotePrefix="0" xfId="0">
      <alignment horizontal="center" vertical="center"/>
      <protection locked="1" hidden="1"/>
    </xf>
    <xf numFmtId="167" fontId="87" fillId="25" borderId="4" applyAlignment="1" applyProtection="1" pivotButton="0" quotePrefix="0" xfId="645">
      <alignment horizontal="left" vertical="center" wrapText="1"/>
      <protection locked="1" hidden="1"/>
    </xf>
    <xf numFmtId="167" fontId="87" fillId="25" borderId="4" applyAlignment="1" applyProtection="1" pivotButton="0" quotePrefix="0" xfId="645">
      <alignment vertical="center" wrapText="1"/>
      <protection locked="1" hidden="1"/>
    </xf>
    <xf numFmtId="167" fontId="86" fillId="25" borderId="4" applyAlignment="1" applyProtection="1" pivotButton="0" quotePrefix="0" xfId="645">
      <alignment horizontal="center" vertical="center"/>
      <protection locked="1" hidden="1"/>
    </xf>
    <xf numFmtId="167" fontId="86" fillId="25" borderId="21" applyAlignment="1" applyProtection="1" pivotButton="0" quotePrefix="0" xfId="645">
      <alignment vertical="center"/>
      <protection locked="1" hidden="1"/>
    </xf>
    <xf numFmtId="167" fontId="86" fillId="25" borderId="22" applyAlignment="1" applyProtection="1" pivotButton="0" quotePrefix="0" xfId="645">
      <alignment vertical="center"/>
      <protection locked="1" hidden="1"/>
    </xf>
    <xf numFmtId="167" fontId="86" fillId="25" borderId="12" applyAlignment="1" applyProtection="1" pivotButton="0" quotePrefix="0" xfId="645">
      <alignment vertical="center"/>
      <protection locked="1" hidden="1"/>
    </xf>
    <xf numFmtId="167" fontId="86" fillId="25" borderId="4" applyAlignment="1" applyProtection="1" pivotButton="0" quotePrefix="0" xfId="645">
      <alignment horizontal="center" vertical="center" wrapText="1"/>
      <protection locked="1" hidden="1"/>
    </xf>
    <xf numFmtId="167" fontId="86" fillId="25" borderId="4" applyAlignment="1" applyProtection="1" pivotButton="0" quotePrefix="0" xfId="645">
      <alignment vertical="center" wrapText="1"/>
      <protection locked="1" hidden="1"/>
    </xf>
    <xf numFmtId="0" fontId="76" fillId="0" borderId="0" applyAlignment="1" pivotButton="0" quotePrefix="0" xfId="0">
      <alignment horizontal="right" vertical="top"/>
    </xf>
    <xf numFmtId="165" fontId="76" fillId="0" borderId="0" applyAlignment="1" pivotButton="0" quotePrefix="0" xfId="714">
      <alignment horizontal="right" vertical="center" wrapText="1"/>
    </xf>
    <xf numFmtId="0" fontId="76" fillId="0" borderId="0" applyAlignment="1" pivotButton="0" quotePrefix="0" xfId="0">
      <alignment horizontal="left" vertical="center"/>
    </xf>
    <xf numFmtId="0" fontId="80" fillId="0" borderId="4" applyAlignment="1" pivotButton="0" quotePrefix="0" xfId="0">
      <alignment horizontal="center" vertical="center" wrapText="1"/>
    </xf>
    <xf numFmtId="0" fontId="80" fillId="0" borderId="4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5" fillId="0" borderId="24" applyAlignment="1" pivotButton="0" quotePrefix="0" xfId="0">
      <alignment horizontal="left" vertical="center"/>
    </xf>
    <xf numFmtId="0" fontId="75" fillId="0" borderId="4" applyAlignment="1" applyProtection="1" pivotButton="0" quotePrefix="0" xfId="0">
      <alignment horizontal="left" vertical="center"/>
      <protection locked="1" hidden="1"/>
    </xf>
    <xf numFmtId="0" fontId="75" fillId="0" borderId="4" applyAlignment="1" applyProtection="1" pivotButton="0" quotePrefix="0" xfId="0">
      <alignment horizontal="left" vertical="center" wrapText="1"/>
      <protection locked="1" hidden="1"/>
    </xf>
    <xf numFmtId="0" fontId="75" fillId="0" borderId="4" applyAlignment="1" pivotButton="0" quotePrefix="0" xfId="0">
      <alignment horizontal="center" vertical="center"/>
    </xf>
    <xf numFmtId="0" fontId="75" fillId="29" borderId="4" applyAlignment="1" applyProtection="1" pivotButton="0" quotePrefix="0" xfId="613">
      <alignment horizontal="center" vertical="center"/>
      <protection locked="0" hidden="0"/>
    </xf>
    <xf numFmtId="0" fontId="80" fillId="0" borderId="4" applyAlignment="1" applyProtection="1" pivotButton="0" quotePrefix="0" xfId="0">
      <alignment horizontal="left" vertical="center"/>
      <protection locked="1" hidden="1"/>
    </xf>
    <xf numFmtId="0" fontId="75" fillId="0" borderId="4" applyAlignment="1" applyProtection="1" pivotButton="0" quotePrefix="0" xfId="0">
      <alignment vertical="center"/>
      <protection locked="1" hidden="1"/>
    </xf>
    <xf numFmtId="0" fontId="66" fillId="0" borderId="0" applyAlignment="1" applyProtection="1" pivotButton="0" quotePrefix="0" xfId="0">
      <alignment horizontal="left" vertical="center"/>
      <protection locked="1" hidden="1"/>
    </xf>
    <xf numFmtId="0" fontId="76" fillId="0" borderId="0" applyAlignment="1" applyProtection="1" pivotButton="0" quotePrefix="0" xfId="0">
      <alignment horizontal="center" vertical="center"/>
      <protection locked="1" hidden="1"/>
    </xf>
    <xf numFmtId="0" fontId="76" fillId="0" borderId="0" applyAlignment="1" applyProtection="1" pivotButton="0" quotePrefix="0" xfId="0">
      <alignment horizontal="right" vertical="center"/>
      <protection locked="1" hidden="1"/>
    </xf>
    <xf numFmtId="0" fontId="66" fillId="0" borderId="15" applyAlignment="1" applyProtection="1" pivotButton="0" quotePrefix="0" xfId="635">
      <alignment horizontal="left" vertical="center"/>
      <protection locked="0" hidden="0"/>
    </xf>
    <xf numFmtId="0" fontId="66" fillId="0" borderId="0" applyAlignment="1" applyProtection="1" pivotButton="0" quotePrefix="0" xfId="635">
      <alignment horizontal="left" vertical="center"/>
      <protection locked="0" hidden="0"/>
    </xf>
    <xf numFmtId="0" fontId="66" fillId="0" borderId="17" applyAlignment="1" applyProtection="1" pivotButton="0" quotePrefix="0" xfId="635">
      <alignment horizontal="left" vertical="center"/>
      <protection locked="0" hidden="0"/>
    </xf>
    <xf numFmtId="0" fontId="76" fillId="0" borderId="0" applyAlignment="1" applyProtection="1" pivotButton="0" quotePrefix="0" xfId="0">
      <alignment horizontal="left" vertical="center" wrapText="1"/>
      <protection locked="1" hidden="1"/>
    </xf>
    <xf numFmtId="0" fontId="76" fillId="0" borderId="23" applyAlignment="1" applyProtection="1" pivotButton="0" quotePrefix="0" xfId="0">
      <alignment horizontal="left" vertical="center" wrapText="1"/>
      <protection locked="1" hidden="1"/>
    </xf>
    <xf numFmtId="0" fontId="76" fillId="0" borderId="9" applyAlignment="1" applyProtection="1" pivotButton="0" quotePrefix="0" xfId="0">
      <alignment horizontal="left" vertical="center" wrapText="1"/>
      <protection locked="1" hidden="1"/>
    </xf>
    <xf numFmtId="0" fontId="80" fillId="0" borderId="21" applyAlignment="1" applyProtection="1" pivotButton="0" quotePrefix="0" xfId="0">
      <alignment horizontal="left" vertical="center"/>
      <protection locked="1" hidden="1"/>
    </xf>
    <xf numFmtId="0" fontId="76" fillId="0" borderId="22" applyAlignment="1" applyProtection="1" pivotButton="0" quotePrefix="0" xfId="0">
      <alignment horizontal="left" vertical="center"/>
      <protection locked="1" hidden="1"/>
    </xf>
    <xf numFmtId="0" fontId="76" fillId="0" borderId="4" applyAlignment="1" applyProtection="1" pivotButton="0" quotePrefix="0" xfId="0">
      <alignment horizontal="center" vertical="center"/>
      <protection locked="1" hidden="1"/>
    </xf>
    <xf numFmtId="0" fontId="76" fillId="0" borderId="4" applyAlignment="1" applyProtection="1" pivotButton="0" quotePrefix="0" xfId="636">
      <alignment horizontal="center" vertical="center" wrapText="1"/>
      <protection locked="1" hidden="1"/>
    </xf>
    <xf numFmtId="0" fontId="76" fillId="0" borderId="0" applyAlignment="1" applyProtection="1" pivotButton="0" quotePrefix="0" xfId="0">
      <alignment horizontal="left" vertical="center"/>
      <protection locked="1" hidden="1"/>
    </xf>
    <xf numFmtId="0" fontId="75" fillId="0" borderId="16" applyAlignment="1" applyProtection="1" pivotButton="0" quotePrefix="0" xfId="0">
      <alignment horizontal="left" vertical="center"/>
      <protection locked="1" hidden="1"/>
    </xf>
    <xf numFmtId="0" fontId="76" fillId="0" borderId="8" applyAlignment="1" applyProtection="1" pivotButton="0" quotePrefix="0" xfId="0">
      <alignment horizontal="left" vertical="center"/>
      <protection locked="1" hidden="1"/>
    </xf>
    <xf numFmtId="0" fontId="66" fillId="0" borderId="0" applyAlignment="1" applyProtection="1" pivotButton="0" quotePrefix="0" xfId="0">
      <alignment horizontal="center" vertical="center"/>
      <protection locked="1" hidden="1"/>
    </xf>
    <xf numFmtId="0" fontId="76" fillId="0" borderId="14" applyAlignment="1" applyProtection="1" pivotButton="0" quotePrefix="0" xfId="636">
      <alignment horizontal="center" vertical="center" wrapText="1"/>
      <protection locked="1" hidden="1"/>
    </xf>
    <xf numFmtId="0" fontId="66" fillId="0" borderId="17" applyAlignment="1" applyProtection="1" pivotButton="0" quotePrefix="0" xfId="0">
      <alignment horizontal="center" vertical="center"/>
      <protection locked="1" hidden="1"/>
    </xf>
    <xf numFmtId="0" fontId="66" fillId="29" borderId="4" applyAlignment="1" applyProtection="1" pivotButton="0" quotePrefix="0" xfId="0">
      <alignment horizontal="center" vertical="center"/>
      <protection locked="0" hidden="0"/>
    </xf>
    <xf numFmtId="2" fontId="66" fillId="29" borderId="4" applyAlignment="1" applyProtection="1" pivotButton="0" quotePrefix="0" xfId="613">
      <alignment horizontal="center" vertical="center"/>
      <protection locked="0" hidden="0"/>
    </xf>
    <xf numFmtId="0" fontId="76" fillId="29" borderId="4" applyAlignment="1" applyProtection="1" pivotButton="0" quotePrefix="0" xfId="0">
      <alignment horizontal="center" vertical="center"/>
      <protection locked="0" hidden="0"/>
    </xf>
    <xf numFmtId="2" fontId="76" fillId="29" borderId="4" applyAlignment="1" applyProtection="1" pivotButton="0" quotePrefix="0" xfId="613">
      <alignment horizontal="center" vertical="center"/>
      <protection locked="0" hidden="0"/>
    </xf>
    <xf numFmtId="0" fontId="90" fillId="0" borderId="0" applyAlignment="1" applyProtection="1" pivotButton="0" quotePrefix="0" xfId="0">
      <alignment horizontal="left" vertical="center"/>
      <protection locked="1" hidden="1"/>
    </xf>
    <xf numFmtId="0" fontId="91" fillId="0" borderId="0" applyAlignment="1" applyProtection="1" pivotButton="0" quotePrefix="0" xfId="0">
      <alignment horizontal="right" vertical="top"/>
      <protection locked="1" hidden="1"/>
    </xf>
    <xf numFmtId="0" fontId="90" fillId="0" borderId="0" applyAlignment="1" applyProtection="1" pivotButton="0" quotePrefix="0" xfId="0">
      <alignment vertical="center"/>
      <protection locked="0" hidden="0"/>
    </xf>
    <xf numFmtId="49" fontId="90" fillId="0" borderId="0" applyAlignment="1" applyProtection="1" pivotButton="0" quotePrefix="0" xfId="0">
      <alignment horizontal="left" vertical="center"/>
      <protection locked="0" hidden="0"/>
    </xf>
    <xf numFmtId="0" fontId="90" fillId="0" borderId="0" applyAlignment="1" applyProtection="1" pivotButton="0" quotePrefix="0" xfId="0">
      <alignment horizontal="left" vertical="center"/>
      <protection locked="0" hidden="0"/>
    </xf>
    <xf numFmtId="165" fontId="90" fillId="0" borderId="0" applyAlignment="1" applyProtection="1" pivotButton="0" quotePrefix="0" xfId="714">
      <alignment horizontal="center" vertical="center" wrapText="1"/>
      <protection locked="0" hidden="0"/>
    </xf>
    <xf numFmtId="49" fontId="90" fillId="0" borderId="0" applyAlignment="1" applyProtection="1" pivotButton="0" quotePrefix="0" xfId="0">
      <alignment vertical="center"/>
      <protection locked="0" hidden="0"/>
    </xf>
    <xf numFmtId="165" fontId="90" fillId="0" borderId="0" applyAlignment="1" applyProtection="1" pivotButton="0" quotePrefix="0" xfId="714">
      <alignment horizontal="left" vertical="center" wrapText="1"/>
      <protection locked="0" hidden="0"/>
    </xf>
    <xf numFmtId="0" fontId="90" fillId="0" borderId="0" applyAlignment="1" applyProtection="1" pivotButton="0" quotePrefix="0" xfId="635">
      <alignment horizontal="left" vertical="center"/>
      <protection locked="1" hidden="1"/>
    </xf>
    <xf numFmtId="0" fontId="91" fillId="0" borderId="9" applyAlignment="1" applyProtection="1" pivotButton="0" quotePrefix="0" xfId="0">
      <alignment horizontal="center" vertical="center" wrapText="1"/>
      <protection locked="1" hidden="1"/>
    </xf>
    <xf numFmtId="0" fontId="91" fillId="0" borderId="0" applyAlignment="1" applyProtection="1" pivotButton="0" quotePrefix="0" xfId="0">
      <alignment horizontal="left" vertical="center" wrapText="1"/>
      <protection locked="1" hidden="1"/>
    </xf>
    <xf numFmtId="0" fontId="91" fillId="0" borderId="15" applyAlignment="1" applyProtection="1" pivotButton="0" quotePrefix="0" xfId="0">
      <alignment horizontal="left" vertical="center" wrapText="1"/>
      <protection locked="1" hidden="1"/>
    </xf>
    <xf numFmtId="0" fontId="91" fillId="0" borderId="4" applyAlignment="1" applyProtection="1" pivotButton="0" quotePrefix="0" xfId="0">
      <alignment horizontal="left" vertical="center" wrapText="1"/>
      <protection locked="1" hidden="1"/>
    </xf>
    <xf numFmtId="166" fontId="91" fillId="0" borderId="4" applyAlignment="1" applyProtection="1" pivotButton="0" quotePrefix="0" xfId="0">
      <alignment horizontal="center" vertical="center" wrapText="1"/>
      <protection locked="1" hidden="1"/>
    </xf>
    <xf numFmtId="0" fontId="91" fillId="0" borderId="9" applyAlignment="1" applyProtection="1" pivotButton="0" quotePrefix="0" xfId="636">
      <alignment horizontal="center" vertical="center" wrapText="1"/>
      <protection locked="1" hidden="1"/>
    </xf>
    <xf numFmtId="0" fontId="90" fillId="0" borderId="21" applyAlignment="1" applyProtection="1" pivotButton="0" quotePrefix="0" xfId="0">
      <alignment horizontal="left" vertical="center" wrapText="1"/>
      <protection locked="1" hidden="1"/>
    </xf>
    <xf numFmtId="0" fontId="90" fillId="0" borderId="0" applyAlignment="1" applyProtection="1" pivotButton="0" quotePrefix="0" xfId="0">
      <alignment horizontal="left" vertical="center" wrapText="1"/>
      <protection locked="1" hidden="1"/>
    </xf>
    <xf numFmtId="0" fontId="90" fillId="0" borderId="4" applyAlignment="1" applyProtection="1" pivotButton="0" quotePrefix="0" xfId="0">
      <alignment horizontal="left" vertical="center"/>
      <protection locked="1" hidden="1"/>
    </xf>
    <xf numFmtId="0" fontId="90" fillId="29" borderId="14" applyAlignment="1" applyProtection="1" pivotButton="0" quotePrefix="0" xfId="0">
      <alignment horizontal="center" vertical="center"/>
      <protection locked="0" hidden="0"/>
    </xf>
    <xf numFmtId="0" fontId="90" fillId="29" borderId="14" applyAlignment="1" applyProtection="1" pivotButton="0" quotePrefix="0" xfId="613">
      <alignment horizontal="center" vertical="center"/>
      <protection locked="0" hidden="0"/>
    </xf>
    <xf numFmtId="0" fontId="90" fillId="29" borderId="4" applyAlignment="1" applyProtection="1" pivotButton="0" quotePrefix="0" xfId="0">
      <alignment horizontal="center" vertical="center"/>
      <protection locked="0" hidden="0"/>
    </xf>
    <xf numFmtId="0" fontId="90" fillId="29" borderId="4" applyAlignment="1" applyProtection="1" pivotButton="0" quotePrefix="0" xfId="613">
      <alignment horizontal="center" vertical="center"/>
      <protection locked="0" hidden="0"/>
    </xf>
    <xf numFmtId="0" fontId="91" fillId="0" borderId="4" applyAlignment="1" applyProtection="1" pivotButton="0" quotePrefix="0" xfId="0">
      <alignment horizontal="left" vertical="center"/>
      <protection locked="1" hidden="1"/>
    </xf>
    <xf numFmtId="0" fontId="91" fillId="29" borderId="4" applyAlignment="1" applyProtection="1" pivotButton="0" quotePrefix="0" xfId="0">
      <alignment horizontal="center" vertical="center"/>
      <protection locked="0" hidden="0"/>
    </xf>
    <xf numFmtId="0" fontId="91" fillId="29" borderId="4" applyAlignment="1" applyProtection="1" pivotButton="0" quotePrefix="0" xfId="613">
      <alignment horizontal="center" vertical="center"/>
      <protection locked="0" hidden="0"/>
    </xf>
    <xf numFmtId="0" fontId="91" fillId="0" borderId="0" applyAlignment="1" applyProtection="1" pivotButton="0" quotePrefix="0" xfId="0">
      <alignment horizontal="left" vertical="center"/>
      <protection locked="1" hidden="1"/>
    </xf>
    <xf numFmtId="0" fontId="92" fillId="0" borderId="0" applyAlignment="1" applyProtection="1" pivotButton="0" quotePrefix="0" xfId="0">
      <alignment horizontal="left" vertical="center"/>
      <protection locked="1" hidden="1"/>
    </xf>
    <xf numFmtId="0" fontId="92" fillId="25" borderId="0" applyAlignment="1" applyProtection="1" pivotButton="0" quotePrefix="0" xfId="0">
      <alignment horizontal="left" vertical="center"/>
      <protection locked="1" hidden="1"/>
    </xf>
    <xf numFmtId="165" fontId="64" fillId="0" borderId="0" applyAlignment="1" applyProtection="1" pivotButton="0" quotePrefix="0" xfId="714">
      <alignment horizontal="right" vertical="top" wrapText="1"/>
      <protection locked="1" hidden="1"/>
    </xf>
    <xf numFmtId="0" fontId="92" fillId="0" borderId="0" applyAlignment="1" applyProtection="1" pivotButton="0" quotePrefix="0" xfId="0">
      <alignment horizontal="center" vertical="center"/>
      <protection locked="1" hidden="1"/>
    </xf>
    <xf numFmtId="49" fontId="64" fillId="0" borderId="0" applyAlignment="1" applyProtection="1" pivotButton="0" quotePrefix="0" xfId="0">
      <alignment horizontal="center" vertical="center"/>
      <protection locked="1" hidden="1"/>
    </xf>
    <xf numFmtId="165" fontId="64" fillId="0" borderId="0" applyAlignment="1" applyProtection="1" pivotButton="0" quotePrefix="0" xfId="714">
      <alignment horizontal="center" vertical="center" wrapText="1"/>
      <protection locked="1" hidden="1"/>
    </xf>
    <xf numFmtId="165" fontId="92" fillId="0" borderId="0" applyAlignment="1" applyProtection="1" pivotButton="0" quotePrefix="0" xfId="714">
      <alignment horizontal="center" vertical="center" wrapText="1"/>
      <protection locked="1" hidden="1"/>
    </xf>
    <xf numFmtId="165" fontId="64" fillId="0" borderId="0" applyAlignment="1" applyProtection="1" pivotButton="0" quotePrefix="0" xfId="714">
      <alignment horizontal="right" vertical="center" wrapText="1"/>
      <protection locked="1" hidden="1"/>
    </xf>
    <xf numFmtId="0" fontId="92" fillId="0" borderId="15" applyAlignment="1" applyProtection="1" pivotButton="0" quotePrefix="0" xfId="0">
      <alignment horizontal="left" vertical="center"/>
      <protection locked="1" hidden="1"/>
    </xf>
    <xf numFmtId="0" fontId="92" fillId="0" borderId="15" applyAlignment="1" applyProtection="1" pivotButton="0" quotePrefix="0" xfId="635">
      <alignment horizontal="left" vertical="center"/>
      <protection locked="1" hidden="1"/>
    </xf>
    <xf numFmtId="0" fontId="92" fillId="0" borderId="0" applyAlignment="1" applyProtection="1" pivotButton="0" quotePrefix="0" xfId="635">
      <alignment horizontal="left" vertical="center"/>
      <protection locked="1" hidden="1"/>
    </xf>
    <xf numFmtId="0" fontId="71" fillId="25" borderId="0" applyAlignment="1" applyProtection="1" pivotButton="0" quotePrefix="0" xfId="0">
      <alignment horizontal="center" vertical="center"/>
      <protection locked="1" hidden="1"/>
    </xf>
    <xf numFmtId="0" fontId="71" fillId="0" borderId="0" applyAlignment="1" applyProtection="1" pivotButton="0" quotePrefix="0" xfId="0">
      <alignment horizontal="center" vertical="center"/>
      <protection locked="1" hidden="1"/>
    </xf>
    <xf numFmtId="0" fontId="71" fillId="25" borderId="0" applyAlignment="1" applyProtection="1" pivotButton="0" quotePrefix="0" xfId="0">
      <alignment horizontal="left" vertical="center"/>
      <protection locked="1" hidden="1"/>
    </xf>
    <xf numFmtId="0" fontId="70" fillId="25" borderId="4" applyAlignment="1" applyProtection="1" pivotButton="0" quotePrefix="0" xfId="0">
      <alignment horizontal="left" vertical="center"/>
      <protection locked="1" hidden="1"/>
    </xf>
    <xf numFmtId="0" fontId="70" fillId="29" borderId="14" applyAlignment="1" applyProtection="1" pivotButton="0" quotePrefix="0" xfId="0">
      <alignment horizontal="center" vertical="center"/>
      <protection locked="0" hidden="0"/>
    </xf>
    <xf numFmtId="168" fontId="70" fillId="0" borderId="4" applyAlignment="1" applyProtection="1" pivotButton="0" quotePrefix="0" xfId="0">
      <alignment horizontal="center" vertical="center"/>
      <protection locked="1" hidden="1"/>
    </xf>
    <xf numFmtId="49" fontId="70" fillId="0" borderId="4" applyAlignment="1" applyProtection="1" pivotButton="0" quotePrefix="0" xfId="0">
      <alignment horizontal="center" vertical="center"/>
      <protection locked="1" hidden="1"/>
    </xf>
    <xf numFmtId="166" fontId="70" fillId="0" borderId="4" applyAlignment="1" applyProtection="1" pivotButton="0" quotePrefix="0" xfId="0">
      <alignment horizontal="center" vertical="center"/>
      <protection locked="1" hidden="1"/>
    </xf>
    <xf numFmtId="0" fontId="70" fillId="0" borderId="9" applyAlignment="1" applyProtection="1" pivotButton="0" quotePrefix="0" xfId="0">
      <alignment horizontal="left" vertical="center"/>
      <protection locked="1" hidden="1"/>
    </xf>
    <xf numFmtId="0" fontId="71" fillId="25" borderId="4" applyAlignment="1" applyProtection="1" pivotButton="0" quotePrefix="0" xfId="0">
      <alignment horizontal="left" vertical="center"/>
      <protection locked="1" hidden="1"/>
    </xf>
    <xf numFmtId="0" fontId="70" fillId="20" borderId="4" applyAlignment="1" applyProtection="1" pivotButton="0" quotePrefix="0" xfId="0">
      <alignment horizontal="left" vertical="center"/>
      <protection locked="1" hidden="1"/>
    </xf>
    <xf numFmtId="0" fontId="64" fillId="25" borderId="0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left" vertical="center"/>
      <protection locked="1" hidden="1"/>
    </xf>
    <xf numFmtId="0" fontId="92" fillId="0" borderId="17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center" vertical="center"/>
      <protection locked="1" hidden="1"/>
    </xf>
    <xf numFmtId="0" fontId="92" fillId="0" borderId="0" applyAlignment="1" applyProtection="1" pivotButton="0" quotePrefix="0" xfId="0">
      <alignment horizontal="left" vertical="center"/>
      <protection locked="0" hidden="0"/>
    </xf>
    <xf numFmtId="49" fontId="92" fillId="0" borderId="0" applyAlignment="1" applyProtection="1" pivotButton="0" quotePrefix="0" xfId="0">
      <alignment horizontal="left" vertical="center"/>
      <protection locked="0" hidden="0"/>
    </xf>
    <xf numFmtId="165" fontId="92" fillId="0" borderId="0" applyAlignment="1" applyProtection="1" pivotButton="0" quotePrefix="0" xfId="714">
      <alignment horizontal="center" vertical="center" wrapText="1"/>
      <protection locked="0" hidden="0"/>
    </xf>
    <xf numFmtId="0" fontId="71" fillId="0" borderId="22" applyAlignment="1" applyProtection="1" pivotButton="0" quotePrefix="0" xfId="0">
      <alignment horizontal="center" vertical="center"/>
      <protection locked="1" hidden="1"/>
    </xf>
    <xf numFmtId="0" fontId="71" fillId="0" borderId="14" applyAlignment="1" applyProtection="1" pivotButton="0" quotePrefix="0" xfId="636">
      <alignment horizontal="center" vertical="center" wrapText="1"/>
      <protection locked="1" hidden="1"/>
    </xf>
    <xf numFmtId="0" fontId="71" fillId="0" borderId="24" applyAlignment="1" applyProtection="1" pivotButton="0" quotePrefix="0" xfId="636">
      <alignment horizontal="center" vertical="center" wrapText="1"/>
      <protection locked="1" hidden="1"/>
    </xf>
    <xf numFmtId="0" fontId="71" fillId="0" borderId="22" applyAlignment="1" applyProtection="1" pivotButton="0" quotePrefix="0" xfId="636">
      <alignment horizontal="center" vertical="center" wrapText="1"/>
      <protection locked="1" hidden="1"/>
    </xf>
    <xf numFmtId="166" fontId="70" fillId="0" borderId="12" applyAlignment="1" applyProtection="1" pivotButton="0" quotePrefix="0" xfId="636">
      <alignment horizontal="center" vertical="center"/>
      <protection locked="1" hidden="1"/>
    </xf>
    <xf numFmtId="0" fontId="70" fillId="29" borderId="4" applyAlignment="1" applyProtection="1" pivotButton="0" quotePrefix="0" xfId="0">
      <alignment horizontal="center" vertical="center"/>
      <protection locked="0" hidden="0"/>
    </xf>
    <xf numFmtId="0" fontId="70" fillId="20" borderId="4" applyAlignment="1" applyProtection="1" pivotButton="0" quotePrefix="0" xfId="613">
      <alignment horizontal="center" vertical="center"/>
      <protection locked="1" hidden="1"/>
    </xf>
    <xf numFmtId="0" fontId="71" fillId="0" borderId="12" applyAlignment="1" applyProtection="1" pivotButton="0" quotePrefix="0" xfId="613">
      <alignment horizontal="center" vertical="center"/>
      <protection locked="1" hidden="1"/>
    </xf>
    <xf numFmtId="0" fontId="71" fillId="29" borderId="4" applyAlignment="1" applyProtection="1" pivotButton="0" quotePrefix="0" xfId="0">
      <alignment horizontal="center" vertical="center"/>
      <protection locked="0" hidden="0"/>
    </xf>
    <xf numFmtId="0" fontId="70" fillId="0" borderId="24" applyAlignment="1" applyProtection="1" pivotButton="0" quotePrefix="0" xfId="0">
      <alignment horizontal="left" vertical="center"/>
      <protection locked="1" hidden="1"/>
    </xf>
    <xf numFmtId="0" fontId="70" fillId="0" borderId="8" applyAlignment="1" applyProtection="1" pivotButton="0" quotePrefix="0" xfId="0">
      <alignment horizontal="left" vertical="center"/>
      <protection locked="1" hidden="1"/>
    </xf>
    <xf numFmtId="0" fontId="71" fillId="0" borderId="19" applyAlignment="1" applyProtection="1" pivotButton="0" quotePrefix="0" xfId="636">
      <alignment horizontal="center" vertical="center"/>
      <protection locked="1" hidden="1"/>
    </xf>
    <xf numFmtId="166" fontId="70" fillId="0" borderId="8" applyAlignment="1" applyProtection="1" pivotButton="0" quotePrefix="0" xfId="636">
      <alignment horizontal="center" vertical="center"/>
      <protection locked="1" hidden="1"/>
    </xf>
    <xf numFmtId="0" fontId="70" fillId="20" borderId="14" applyAlignment="1" applyProtection="1" pivotButton="0" quotePrefix="0" xfId="613">
      <alignment horizontal="center" vertical="center"/>
      <protection locked="1" hidden="1"/>
    </xf>
    <xf numFmtId="0" fontId="71" fillId="0" borderId="12" applyAlignment="1" applyProtection="1" pivotButton="0" quotePrefix="0" xfId="636">
      <alignment horizontal="center" vertical="center"/>
      <protection locked="1" hidden="1"/>
    </xf>
    <xf numFmtId="0" fontId="71" fillId="0" borderId="12" applyAlignment="1" applyProtection="1" pivotButton="0" quotePrefix="0" xfId="636">
      <alignment horizontal="left" vertical="center"/>
      <protection locked="1" hidden="1"/>
    </xf>
    <xf numFmtId="0" fontId="94" fillId="0" borderId="0" applyAlignment="1" applyProtection="1" pivotButton="0" quotePrefix="0" xfId="0">
      <alignment horizontal="left" vertical="center"/>
      <protection locked="1" hidden="1"/>
    </xf>
    <xf numFmtId="0" fontId="94" fillId="0" borderId="15" applyAlignment="1" applyProtection="1" pivotButton="0" quotePrefix="0" xfId="0">
      <alignment horizontal="left" vertical="center"/>
      <protection locked="1" hidden="1"/>
    </xf>
    <xf numFmtId="0" fontId="98" fillId="0" borderId="4" applyAlignment="1" applyProtection="1" pivotButton="0" quotePrefix="0" xfId="0">
      <alignment horizontal="left" vertical="center"/>
      <protection locked="1" hidden="1"/>
    </xf>
    <xf numFmtId="0" fontId="98" fillId="29" borderId="4" applyAlignment="1" applyProtection="1" pivotButton="0" quotePrefix="0" xfId="0">
      <alignment horizontal="center" vertical="center"/>
      <protection locked="0" hidden="0"/>
    </xf>
    <xf numFmtId="0" fontId="96" fillId="29" borderId="4" applyAlignment="1" applyProtection="1" pivotButton="0" quotePrefix="0" xfId="0">
      <alignment horizontal="center" vertical="center"/>
      <protection locked="0" hidden="0"/>
    </xf>
    <xf numFmtId="0" fontId="99" fillId="0" borderId="0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center"/>
      <protection locked="1" hidden="1"/>
    </xf>
    <xf numFmtId="49" fontId="64" fillId="0" borderId="0" applyAlignment="1" applyProtection="1" pivotButton="0" quotePrefix="0" xfId="0">
      <alignment horizontal="center"/>
      <protection locked="1" hidden="1"/>
    </xf>
    <xf numFmtId="0" fontId="92" fillId="0" borderId="0" applyAlignment="1" applyProtection="1" pivotButton="0" quotePrefix="0" xfId="0">
      <alignment horizontal="left"/>
      <protection locked="0" hidden="0"/>
    </xf>
    <xf numFmtId="49" fontId="92" fillId="0" borderId="0" applyAlignment="1" applyProtection="1" pivotButton="0" quotePrefix="0" xfId="0">
      <alignment horizontal="left"/>
      <protection locked="0" hidden="0"/>
    </xf>
    <xf numFmtId="0" fontId="92" fillId="0" borderId="0" applyAlignment="1" applyProtection="1" pivotButton="0" quotePrefix="0" xfId="635">
      <alignment horizontal="left"/>
      <protection locked="1" hidden="1"/>
    </xf>
    <xf numFmtId="0" fontId="71" fillId="0" borderId="22" applyAlignment="1" applyProtection="1" pivotButton="0" quotePrefix="0" xfId="0">
      <alignment horizontal="center"/>
      <protection locked="1" hidden="1"/>
    </xf>
    <xf numFmtId="0" fontId="71" fillId="0" borderId="4" applyAlignment="1" applyProtection="1" pivotButton="0" quotePrefix="0" xfId="636">
      <alignment horizontal="center" wrapText="1"/>
      <protection locked="1" hidden="1"/>
    </xf>
    <xf numFmtId="0" fontId="92" fillId="0" borderId="0" applyAlignment="1" applyProtection="1" pivotButton="0" quotePrefix="0" xfId="0">
      <alignment horizontal="center"/>
      <protection locked="1" hidden="1"/>
    </xf>
    <xf numFmtId="0" fontId="92" fillId="0" borderId="0" applyAlignment="1" applyProtection="1" pivotButton="0" quotePrefix="0" xfId="0">
      <alignment horizontal="left"/>
      <protection locked="1" hidden="1"/>
    </xf>
    <xf numFmtId="166" fontId="70" fillId="0" borderId="12" applyAlignment="1" applyProtection="1" pivotButton="0" quotePrefix="0" xfId="636">
      <alignment horizontal="center"/>
      <protection locked="1" hidden="1"/>
    </xf>
    <xf numFmtId="0" fontId="70" fillId="20" borderId="4" applyAlignment="1" applyProtection="1" pivotButton="0" quotePrefix="0" xfId="613">
      <alignment horizontal="center"/>
      <protection locked="1" hidden="1"/>
    </xf>
    <xf numFmtId="0" fontId="71" fillId="0" borderId="12" applyAlignment="1" applyProtection="1" pivotButton="0" quotePrefix="0" xfId="613">
      <alignment horizontal="center"/>
      <protection locked="1" hidden="1"/>
    </xf>
    <xf numFmtId="0" fontId="71" fillId="0" borderId="15" applyAlignment="1" applyProtection="1" pivotButton="0" quotePrefix="0" xfId="636">
      <alignment horizontal="left"/>
      <protection locked="1" hidden="1"/>
    </xf>
    <xf numFmtId="0" fontId="71" fillId="0" borderId="12" applyAlignment="1" applyProtection="1" pivotButton="0" quotePrefix="0" xfId="636">
      <alignment horizontal="center"/>
      <protection locked="1" hidden="1"/>
    </xf>
    <xf numFmtId="0" fontId="71" fillId="0" borderId="12" applyAlignment="1" applyProtection="1" pivotButton="0" quotePrefix="0" xfId="636">
      <alignment horizontal="left"/>
      <protection locked="1" hidden="1"/>
    </xf>
    <xf numFmtId="0" fontId="71" fillId="0" borderId="21" applyAlignment="1" applyProtection="1" pivotButton="0" quotePrefix="0" xfId="636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left" vertical="center" wrapText="1"/>
      <protection locked="1" hidden="1"/>
    </xf>
    <xf numFmtId="166" fontId="70" fillId="0" borderId="22" applyAlignment="1" applyProtection="1" pivotButton="0" quotePrefix="0" xfId="636">
      <alignment horizontal="center" vertical="center"/>
      <protection locked="1" hidden="1"/>
    </xf>
    <xf numFmtId="0" fontId="70" fillId="20" borderId="9" applyAlignment="1" applyProtection="1" pivotButton="0" quotePrefix="0" xfId="613">
      <alignment horizontal="center" vertical="center"/>
      <protection locked="1" hidden="1"/>
    </xf>
    <xf numFmtId="0" fontId="70" fillId="20" borderId="23" applyAlignment="1" applyProtection="1" pivotButton="0" quotePrefix="0" xfId="613">
      <alignment horizontal="center" vertical="center"/>
      <protection locked="1" hidden="1"/>
    </xf>
    <xf numFmtId="166" fontId="70" fillId="0" borderId="24" applyAlignment="1" applyProtection="1" pivotButton="0" quotePrefix="0" xfId="636">
      <alignment horizontal="center" vertical="center"/>
      <protection locked="1" hidden="1"/>
    </xf>
    <xf numFmtId="166" fontId="70" fillId="0" borderId="21" applyAlignment="1" applyProtection="1" pivotButton="0" quotePrefix="0" xfId="636">
      <alignment horizontal="center" vertical="center"/>
      <protection locked="1" hidden="1"/>
    </xf>
    <xf numFmtId="0" fontId="66" fillId="0" borderId="0" applyAlignment="1" applyProtection="1" pivotButton="0" quotePrefix="0" xfId="0">
      <alignment vertical="center"/>
      <protection locked="1" hidden="1"/>
    </xf>
    <xf numFmtId="165" fontId="76" fillId="0" borderId="0" applyAlignment="1" applyProtection="1" pivotButton="0" quotePrefix="0" xfId="714">
      <alignment horizontal="right" vertical="top" wrapText="1"/>
      <protection locked="1" hidden="1"/>
    </xf>
    <xf numFmtId="0" fontId="76" fillId="0" borderId="0" applyAlignment="1" applyProtection="1" pivotButton="0" quotePrefix="0" xfId="0">
      <alignment vertical="center" wrapText="1"/>
      <protection locked="1" hidden="1"/>
    </xf>
    <xf numFmtId="165" fontId="76" fillId="0" borderId="0" applyAlignment="1" applyProtection="1" pivotButton="0" quotePrefix="0" xfId="714">
      <alignment horizontal="center" vertical="center" wrapText="1"/>
      <protection locked="1" hidden="1"/>
    </xf>
    <xf numFmtId="0" fontId="75" fillId="0" borderId="0" applyAlignment="1" applyProtection="1" pivotButton="0" quotePrefix="0" xfId="635">
      <alignment horizontal="left" vertical="center"/>
      <protection locked="1" hidden="1"/>
    </xf>
    <xf numFmtId="0" fontId="66" fillId="0" borderId="0" applyAlignment="1" applyProtection="1" pivotButton="0" quotePrefix="0" xfId="635">
      <alignment horizontal="left" vertical="center"/>
      <protection locked="1" hidden="1"/>
    </xf>
    <xf numFmtId="0" fontId="80" fillId="0" borderId="4" applyAlignment="1" applyProtection="1" pivotButton="0" quotePrefix="0" xfId="0">
      <alignment vertical="center" wrapText="1"/>
      <protection locked="1" hidden="1"/>
    </xf>
    <xf numFmtId="0" fontId="80" fillId="0" borderId="4" applyAlignment="1" applyProtection="1" pivotButton="0" quotePrefix="0" xfId="0">
      <alignment horizontal="center" vertical="center"/>
      <protection locked="1" hidden="1"/>
    </xf>
    <xf numFmtId="0" fontId="76" fillId="0" borderId="4" applyAlignment="1" applyProtection="1" pivotButton="0" quotePrefix="0" xfId="636">
      <alignment horizontal="left" vertical="center" wrapText="1"/>
      <protection locked="1" hidden="1"/>
    </xf>
    <xf numFmtId="0" fontId="76" fillId="0" borderId="24" applyAlignment="1" applyProtection="1" pivotButton="0" quotePrefix="0" xfId="636">
      <alignment horizontal="center" vertical="center" wrapText="1"/>
      <protection locked="1" hidden="1"/>
    </xf>
    <xf numFmtId="0" fontId="75" fillId="0" borderId="4" applyAlignment="1" applyProtection="1" pivotButton="0" quotePrefix="0" xfId="613">
      <alignment horizontal="left" vertical="center" wrapText="1"/>
      <protection locked="1" hidden="1"/>
    </xf>
    <xf numFmtId="0" fontId="66" fillId="29" borderId="4" applyAlignment="1" applyProtection="1" pivotButton="0" quotePrefix="0" xfId="0">
      <alignment horizontal="left" vertical="center"/>
      <protection locked="0" hidden="0"/>
    </xf>
    <xf numFmtId="166" fontId="66" fillId="0" borderId="4" applyAlignment="1" applyProtection="1" pivotButton="0" quotePrefix="0" xfId="0">
      <alignment horizontal="center" vertical="center" wrapText="1"/>
      <protection locked="1" hidden="1"/>
    </xf>
    <xf numFmtId="0" fontId="66" fillId="0" borderId="0" applyAlignment="1" applyProtection="1" pivotButton="0" quotePrefix="0" xfId="0">
      <alignment horizontal="left" vertical="center" wrapText="1"/>
      <protection locked="1" hidden="1"/>
    </xf>
    <xf numFmtId="0" fontId="75" fillId="25" borderId="4" applyAlignment="1" applyProtection="1" pivotButton="0" quotePrefix="0" xfId="0">
      <alignment horizontal="left" vertical="center" wrapText="1"/>
      <protection locked="1" hidden="1"/>
    </xf>
    <xf numFmtId="0" fontId="75" fillId="0" borderId="9" applyAlignment="1" applyProtection="1" pivotButton="0" quotePrefix="0" xfId="0">
      <alignment horizontal="left" vertical="center"/>
      <protection locked="1" hidden="1"/>
    </xf>
    <xf numFmtId="166" fontId="66" fillId="0" borderId="9" applyAlignment="1" applyProtection="1" pivotButton="0" quotePrefix="0" xfId="0">
      <alignment horizontal="center" vertical="center" wrapText="1"/>
      <protection locked="1" hidden="1"/>
    </xf>
    <xf numFmtId="0" fontId="80" fillId="0" borderId="4" applyAlignment="1" applyProtection="1" pivotButton="0" quotePrefix="0" xfId="636">
      <alignment horizontal="left" vertical="center"/>
      <protection locked="1" hidden="1"/>
    </xf>
    <xf numFmtId="0" fontId="76" fillId="29" borderId="21" applyAlignment="1" applyProtection="1" pivotButton="0" quotePrefix="0" xfId="0">
      <alignment horizontal="left" vertical="center"/>
      <protection locked="0" hidden="0"/>
    </xf>
    <xf numFmtId="0" fontId="92" fillId="20" borderId="4" applyAlignment="1" applyProtection="1" pivotButton="0" quotePrefix="0" xfId="613">
      <alignment horizontal="center" vertical="center"/>
      <protection locked="1" hidden="1"/>
    </xf>
    <xf numFmtId="0" fontId="76" fillId="29" borderId="12" applyAlignment="1" applyProtection="1" pivotButton="0" quotePrefix="0" xfId="0">
      <alignment horizontal="left" vertical="center"/>
      <protection locked="0" hidden="0"/>
    </xf>
    <xf numFmtId="0" fontId="75" fillId="0" borderId="0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635">
      <alignment horizontal="left" vertical="center"/>
      <protection locked="1" hidden="1"/>
    </xf>
    <xf numFmtId="0" fontId="64" fillId="0" borderId="4" applyAlignment="1" applyProtection="1" pivotButton="0" quotePrefix="0" xfId="636">
      <alignment horizontal="center" vertical="center" wrapText="1"/>
      <protection locked="1" hidden="1"/>
    </xf>
    <xf numFmtId="0" fontId="64" fillId="0" borderId="4" applyAlignment="1" applyProtection="1" pivotButton="0" quotePrefix="0" xfId="636">
      <alignment vertical="center"/>
      <protection locked="1" hidden="1"/>
    </xf>
    <xf numFmtId="0" fontId="92" fillId="29" borderId="4" applyAlignment="1" applyProtection="1" pivotButton="0" quotePrefix="0" xfId="0">
      <alignment horizontal="center" vertical="center" wrapText="1"/>
      <protection locked="0" hidden="0"/>
    </xf>
    <xf numFmtId="0" fontId="92" fillId="0" borderId="0" applyAlignment="1" applyProtection="1" pivotButton="0" quotePrefix="0" xfId="0">
      <alignment horizontal="left" vertical="center" wrapText="1"/>
      <protection locked="1" hidden="1"/>
    </xf>
    <xf numFmtId="0" fontId="71" fillId="25" borderId="4" applyAlignment="1" applyProtection="1" pivotButton="0" quotePrefix="0" xfId="0">
      <alignment horizontal="center" vertical="center" wrapText="1"/>
      <protection locked="1" hidden="1"/>
    </xf>
    <xf numFmtId="0" fontId="64" fillId="0" borderId="4" applyAlignment="1" applyProtection="1" pivotButton="0" quotePrefix="0" xfId="636">
      <alignment vertical="center" wrapText="1"/>
      <protection locked="1" hidden="1"/>
    </xf>
    <xf numFmtId="0" fontId="64" fillId="25" borderId="4" applyAlignment="1" applyProtection="1" pivotButton="0" quotePrefix="0" xfId="711">
      <alignment horizontal="center" vertical="center" wrapText="1"/>
      <protection locked="1" hidden="1"/>
    </xf>
    <xf numFmtId="0" fontId="64" fillId="25" borderId="12" applyAlignment="1" applyProtection="1" pivotButton="0" quotePrefix="0" xfId="711">
      <alignment horizontal="center" vertical="center" wrapText="1"/>
      <protection locked="1" hidden="1"/>
    </xf>
    <xf numFmtId="0" fontId="64" fillId="0" borderId="12" applyAlignment="1" applyProtection="1" pivotButton="0" quotePrefix="0" xfId="636">
      <alignment horizontal="center" vertical="center" wrapText="1"/>
      <protection locked="1" hidden="1"/>
    </xf>
    <xf numFmtId="0" fontId="64" fillId="0" borderId="24" applyAlignment="1" applyProtection="1" pivotButton="0" quotePrefix="0" xfId="636">
      <alignment horizontal="center" vertical="center" wrapText="1"/>
      <protection locked="1" hidden="1"/>
    </xf>
    <xf numFmtId="0" fontId="64" fillId="0" borderId="14" applyAlignment="1" applyProtection="1" pivotButton="0" quotePrefix="0" xfId="711">
      <alignment horizontal="left" vertical="center" wrapText="1"/>
      <protection locked="1" hidden="1"/>
    </xf>
    <xf numFmtId="169" fontId="101" fillId="0" borderId="14" applyAlignment="1" applyProtection="1" pivotButton="0" quotePrefix="0" xfId="1208">
      <alignment horizontal="center" vertical="center"/>
      <protection locked="1" hidden="1"/>
    </xf>
    <xf numFmtId="0" fontId="64" fillId="25" borderId="9" applyAlignment="1" applyProtection="1" pivotButton="0" quotePrefix="0" xfId="0">
      <alignment horizontal="left" vertical="center" wrapText="1"/>
      <protection locked="1" hidden="1"/>
    </xf>
    <xf numFmtId="0" fontId="64" fillId="25" borderId="4" applyAlignment="1" applyProtection="1" pivotButton="0" quotePrefix="0" xfId="710">
      <alignment horizontal="center" vertical="center" wrapText="1"/>
      <protection locked="1" hidden="1"/>
    </xf>
    <xf numFmtId="0" fontId="64" fillId="25" borderId="14" applyAlignment="1" applyProtection="1" pivotButton="0" quotePrefix="0" xfId="0">
      <alignment horizontal="left" vertical="center" wrapText="1"/>
      <protection locked="1" hidden="1"/>
    </xf>
    <xf numFmtId="0" fontId="64" fillId="0" borderId="4" applyAlignment="1" applyProtection="1" pivotButton="0" quotePrefix="0" xfId="710">
      <alignment horizontal="center" vertical="center" wrapText="1"/>
      <protection locked="1" hidden="1"/>
    </xf>
    <xf numFmtId="0" fontId="92" fillId="25" borderId="0" applyAlignment="1" applyProtection="1" pivotButton="0" quotePrefix="0" xfId="0">
      <alignment horizontal="center" vertical="center"/>
      <protection locked="1" hidden="1"/>
    </xf>
    <xf numFmtId="0" fontId="92" fillId="25" borderId="4" applyAlignment="1" applyProtection="1" pivotButton="0" quotePrefix="0" xfId="710">
      <alignment horizontal="left" vertical="center" wrapText="1"/>
      <protection locked="1" hidden="1"/>
    </xf>
    <xf numFmtId="0" fontId="71" fillId="0" borderId="4" applyAlignment="1" applyProtection="1" pivotButton="0" quotePrefix="0" xfId="0">
      <alignment vertical="center"/>
      <protection locked="1" hidden="1"/>
    </xf>
    <xf numFmtId="0" fontId="64" fillId="25" borderId="4" applyAlignment="1" applyProtection="1" pivotButton="0" quotePrefix="0" xfId="710">
      <alignment horizontal="left" vertical="center" wrapText="1"/>
      <protection locked="1" hidden="1"/>
    </xf>
    <xf numFmtId="0" fontId="64" fillId="29" borderId="4" applyAlignment="1" applyProtection="1" pivotButton="0" quotePrefix="0" xfId="0">
      <alignment horizontal="center" vertical="center" wrapText="1"/>
      <protection locked="0" hidden="0"/>
    </xf>
    <xf numFmtId="0" fontId="102" fillId="0" borderId="0" applyAlignment="1" applyProtection="1" pivotButton="0" quotePrefix="0" xfId="0">
      <alignment horizontal="left" vertical="center"/>
      <protection locked="1" hidden="1"/>
    </xf>
    <xf numFmtId="165" fontId="103" fillId="0" borderId="0" applyAlignment="1" applyProtection="1" pivotButton="0" quotePrefix="0" xfId="714">
      <alignment horizontal="right" vertical="top" wrapText="1"/>
      <protection locked="1" hidden="1"/>
    </xf>
    <xf numFmtId="0" fontId="104" fillId="0" borderId="0" applyAlignment="1" applyProtection="1" pivotButton="0" quotePrefix="0" xfId="0">
      <alignment horizontal="left" vertical="center"/>
      <protection locked="1" hidden="1"/>
    </xf>
    <xf numFmtId="0" fontId="103" fillId="0" borderId="0" applyAlignment="1" applyProtection="1" pivotButton="0" quotePrefix="0" xfId="0">
      <alignment horizontal="center" vertical="center"/>
      <protection locked="1" hidden="1"/>
    </xf>
    <xf numFmtId="49" fontId="103" fillId="0" borderId="0" applyAlignment="1" applyProtection="1" pivotButton="0" quotePrefix="0" xfId="0">
      <alignment horizontal="center" vertical="center"/>
      <protection locked="1" hidden="1"/>
    </xf>
    <xf numFmtId="165" fontId="103" fillId="0" borderId="0" applyAlignment="1" applyProtection="1" pivotButton="0" quotePrefix="0" xfId="714">
      <alignment horizontal="center" vertical="center" wrapText="1"/>
      <protection locked="1" hidden="1"/>
    </xf>
    <xf numFmtId="165" fontId="103" fillId="0" borderId="0" applyAlignment="1" applyProtection="1" pivotButton="0" quotePrefix="0" xfId="714">
      <alignment horizontal="right" vertical="center" wrapText="1"/>
      <protection locked="1" hidden="1"/>
    </xf>
    <xf numFmtId="0" fontId="102" fillId="0" borderId="0" applyAlignment="1" applyProtection="1" pivotButton="0" quotePrefix="0" xfId="0">
      <alignment horizontal="left" vertical="center"/>
      <protection locked="0" hidden="0"/>
    </xf>
    <xf numFmtId="49" fontId="102" fillId="0" borderId="0" applyAlignment="1" applyProtection="1" pivotButton="0" quotePrefix="0" xfId="0">
      <alignment horizontal="left" vertical="center"/>
      <protection locked="0" hidden="0"/>
    </xf>
    <xf numFmtId="165" fontId="102" fillId="0" borderId="0" applyAlignment="1" applyProtection="1" pivotButton="0" quotePrefix="0" xfId="714">
      <alignment horizontal="center" vertical="center" wrapText="1"/>
      <protection locked="0" hidden="0"/>
    </xf>
    <xf numFmtId="0" fontId="102" fillId="0" borderId="0" applyAlignment="1" applyProtection="1" pivotButton="0" quotePrefix="0" xfId="635">
      <alignment horizontal="left" vertical="center"/>
      <protection locked="1" hidden="1"/>
    </xf>
    <xf numFmtId="0" fontId="103" fillId="0" borderId="0" applyAlignment="1" applyProtection="1" pivotButton="0" quotePrefix="0" xfId="0">
      <alignment horizontal="left" vertical="center"/>
      <protection locked="1" hidden="1"/>
    </xf>
    <xf numFmtId="0" fontId="103" fillId="0" borderId="0" applyAlignment="1" applyProtection="1" pivotButton="0" quotePrefix="0" xfId="635">
      <alignment horizontal="left" vertical="center"/>
      <protection locked="1" hidden="1"/>
    </xf>
    <xf numFmtId="0" fontId="102" fillId="0" borderId="0" applyAlignment="1" applyProtection="1" pivotButton="0" quotePrefix="0" xfId="0">
      <alignment horizontal="center" vertical="center"/>
      <protection locked="1" hidden="1"/>
    </xf>
    <xf numFmtId="0" fontId="103" fillId="0" borderId="14" applyAlignment="1" applyProtection="1" pivotButton="0" quotePrefix="0" xfId="0">
      <alignment horizontal="left" vertical="center" wrapText="1"/>
      <protection locked="1" hidden="1"/>
    </xf>
    <xf numFmtId="0" fontId="103" fillId="0" borderId="24" applyAlignment="1" applyProtection="1" pivotButton="0" quotePrefix="0" xfId="0">
      <alignment horizontal="left" vertical="center" wrapText="1"/>
      <protection locked="1" hidden="1"/>
    </xf>
    <xf numFmtId="0" fontId="103" fillId="0" borderId="0" applyAlignment="1" applyProtection="1" pivotButton="0" quotePrefix="0" xfId="0">
      <alignment horizontal="left" vertical="center" wrapText="1"/>
      <protection locked="1" hidden="1"/>
    </xf>
    <xf numFmtId="0" fontId="103" fillId="0" borderId="0" applyAlignment="1" applyProtection="1" pivotButton="0" quotePrefix="0" xfId="0">
      <alignment horizontal="center" vertical="center" wrapText="1"/>
      <protection locked="1" hidden="1"/>
    </xf>
    <xf numFmtId="0" fontId="106" fillId="0" borderId="4" applyAlignment="1" applyProtection="1" pivotButton="0" quotePrefix="0" xfId="0">
      <alignment vertical="center"/>
      <protection locked="1" hidden="1"/>
    </xf>
    <xf numFmtId="11" fontId="102" fillId="0" borderId="4" applyAlignment="1" applyProtection="1" pivotButton="0" quotePrefix="0" xfId="636">
      <alignment horizontal="left" vertical="center" wrapText="1"/>
      <protection locked="1" hidden="1"/>
    </xf>
    <xf numFmtId="0" fontId="102" fillId="29" borderId="4" applyAlignment="1" applyProtection="1" pivotButton="0" quotePrefix="0" xfId="0">
      <alignment horizontal="center" vertical="center" wrapText="1"/>
      <protection locked="0" hidden="0"/>
    </xf>
    <xf numFmtId="0" fontId="102" fillId="0" borderId="0" applyAlignment="1" applyProtection="1" pivotButton="0" quotePrefix="0" xfId="0">
      <alignment horizontal="left" vertical="center" wrapText="1"/>
      <protection locked="1" hidden="1"/>
    </xf>
    <xf numFmtId="0" fontId="105" fillId="0" borderId="4" applyAlignment="1" applyProtection="1" pivotButton="0" quotePrefix="0" xfId="0">
      <alignment vertical="center"/>
      <protection locked="1" hidden="1"/>
    </xf>
    <xf numFmtId="0" fontId="103" fillId="0" borderId="4" applyAlignment="1" applyProtection="1" pivotButton="0" quotePrefix="0" xfId="613">
      <alignment horizontal="left" vertical="center"/>
      <protection locked="1" hidden="1"/>
    </xf>
    <xf numFmtId="0" fontId="103" fillId="29" borderId="4" applyAlignment="1" applyProtection="1" pivotButton="0" quotePrefix="0" xfId="0">
      <alignment horizontal="center" vertical="center" wrapText="1"/>
      <protection locked="0" hidden="0"/>
    </xf>
    <xf numFmtId="0" fontId="106" fillId="0" borderId="0" applyAlignment="1" applyProtection="1" pivotButton="0" quotePrefix="0" xfId="0">
      <alignment horizontal="left" vertical="center"/>
      <protection locked="1" hidden="1"/>
    </xf>
    <xf numFmtId="0" fontId="105" fillId="0" borderId="0" applyAlignment="1" applyProtection="1" pivotButton="0" quotePrefix="0" xfId="0">
      <alignment horizontal="left" vertical="center"/>
      <protection locked="1" hidden="1"/>
    </xf>
    <xf numFmtId="0" fontId="103" fillId="25" borderId="16" applyAlignment="1" applyProtection="1" pivotButton="0" quotePrefix="0" xfId="711">
      <alignment vertical="center" wrapText="1"/>
      <protection locked="1" hidden="1"/>
    </xf>
    <xf numFmtId="0" fontId="103" fillId="25" borderId="4" applyAlignment="1" applyProtection="1" pivotButton="0" quotePrefix="0" xfId="711">
      <alignment vertical="center" wrapText="1"/>
      <protection locked="1" hidden="1"/>
    </xf>
    <xf numFmtId="0" fontId="103" fillId="25" borderId="0" applyAlignment="1" applyProtection="1" pivotButton="0" quotePrefix="0" xfId="711">
      <alignment vertical="center" wrapText="1"/>
      <protection locked="1" hidden="1"/>
    </xf>
    <xf numFmtId="0" fontId="103" fillId="25" borderId="9" applyAlignment="1" applyProtection="1" pivotButton="0" quotePrefix="0" xfId="711">
      <alignment horizontal="left" vertical="center" wrapText="1"/>
      <protection locked="1" hidden="1"/>
    </xf>
    <xf numFmtId="0" fontId="107" fillId="0" borderId="4" applyAlignment="1" applyProtection="1" pivotButton="0" quotePrefix="0" xfId="0">
      <alignment horizontal="center" vertical="center"/>
      <protection locked="1" hidden="1"/>
    </xf>
    <xf numFmtId="0" fontId="102" fillId="0" borderId="4" applyAlignment="1" applyProtection="1" pivotButton="0" quotePrefix="0" xfId="0">
      <alignment horizontal="left" vertical="center"/>
      <protection locked="1" hidden="1"/>
    </xf>
    <xf numFmtId="169" fontId="108" fillId="0" borderId="4" applyAlignment="1" applyProtection="1" pivotButton="0" quotePrefix="0" xfId="1208">
      <alignment horizontal="center" vertical="center"/>
      <protection locked="1" hidden="1"/>
    </xf>
    <xf numFmtId="167" fontId="107" fillId="0" borderId="12" applyAlignment="1" applyProtection="1" pivotButton="0" quotePrefix="0" xfId="400">
      <alignment vertical="center" wrapText="1"/>
      <protection locked="1" hidden="1"/>
    </xf>
    <xf numFmtId="0" fontId="94" fillId="25" borderId="0" applyAlignment="1" applyProtection="1" pivotButton="0" quotePrefix="0" xfId="0">
      <alignment horizontal="left" vertical="center"/>
      <protection locked="1" hidden="1"/>
    </xf>
    <xf numFmtId="0" fontId="94" fillId="0" borderId="16" applyAlignment="1" applyProtection="1" pivotButton="0" quotePrefix="0" xfId="0">
      <alignment horizontal="left" vertical="center"/>
      <protection locked="1" hidden="1"/>
    </xf>
    <xf numFmtId="0" fontId="94" fillId="0" borderId="17" applyAlignment="1" applyProtection="1" pivotButton="0" quotePrefix="0" xfId="0">
      <alignment horizontal="left" vertical="center"/>
      <protection locked="1" hidden="1"/>
    </xf>
    <xf numFmtId="0" fontId="64" fillId="25" borderId="9" applyAlignment="1" applyProtection="1" pivotButton="0" quotePrefix="0" xfId="710">
      <alignment horizontal="left" vertical="center" wrapText="1"/>
      <protection locked="1" hidden="1"/>
    </xf>
    <xf numFmtId="0" fontId="64" fillId="25" borderId="9" applyAlignment="1" applyProtection="1" pivotButton="0" quotePrefix="0" xfId="710">
      <alignment horizontal="center" vertical="center" wrapText="1"/>
      <protection locked="1" hidden="1"/>
    </xf>
    <xf numFmtId="0" fontId="105" fillId="0" borderId="9" applyAlignment="1" applyProtection="1" pivotButton="0" quotePrefix="0" xfId="0">
      <alignment horizontal="center" vertical="center" wrapText="1"/>
      <protection locked="1" hidden="1"/>
    </xf>
    <xf numFmtId="0" fontId="105" fillId="0" borderId="9" applyAlignment="1" applyProtection="1" pivotButton="0" quotePrefix="0" xfId="636">
      <alignment horizontal="center" vertical="center" wrapText="1"/>
      <protection locked="1" hidden="1"/>
    </xf>
    <xf numFmtId="0" fontId="98" fillId="0" borderId="21" applyAlignment="1" applyProtection="1" pivotButton="0" quotePrefix="0" xfId="710">
      <alignment horizontal="left" vertical="center" wrapText="1"/>
      <protection locked="1" hidden="1"/>
    </xf>
    <xf numFmtId="0" fontId="83" fillId="0" borderId="16" applyAlignment="1" applyProtection="1" pivotButton="0" quotePrefix="0" xfId="0">
      <alignment horizontal="left" vertical="center"/>
      <protection locked="1" hidden="1"/>
    </xf>
    <xf numFmtId="0" fontId="83" fillId="0" borderId="17" applyAlignment="1" applyProtection="1" pivotButton="0" quotePrefix="0" xfId="0">
      <alignment horizontal="left" vertical="center"/>
      <protection locked="1" hidden="1"/>
    </xf>
    <xf numFmtId="0" fontId="83" fillId="0" borderId="0" applyAlignment="1" applyProtection="1" pivotButton="0" quotePrefix="0" xfId="0">
      <alignment horizontal="left" vertical="center"/>
      <protection locked="1" hidden="1"/>
    </xf>
    <xf numFmtId="165" fontId="84" fillId="0" borderId="0" applyAlignment="1" applyProtection="1" pivotButton="0" quotePrefix="0" xfId="714">
      <alignment horizontal="right" vertical="top" wrapText="1"/>
      <protection locked="1" hidden="1"/>
    </xf>
    <xf numFmtId="0" fontId="109" fillId="0" borderId="0" applyAlignment="1" applyProtection="1" pivotButton="0" quotePrefix="0" xfId="0">
      <alignment horizontal="left" vertical="center"/>
      <protection locked="1" hidden="1"/>
    </xf>
    <xf numFmtId="0" fontId="84" fillId="0" borderId="0" applyAlignment="1" applyProtection="1" pivotButton="0" quotePrefix="0" xfId="0">
      <alignment horizontal="center" vertical="center"/>
      <protection locked="1" hidden="1"/>
    </xf>
    <xf numFmtId="49" fontId="84" fillId="0" borderId="0" applyAlignment="1" applyProtection="1" pivotButton="0" quotePrefix="0" xfId="0">
      <alignment horizontal="center" vertical="center"/>
      <protection locked="1" hidden="1"/>
    </xf>
    <xf numFmtId="165" fontId="84" fillId="0" borderId="0" applyAlignment="1" applyProtection="1" pivotButton="0" quotePrefix="0" xfId="714">
      <alignment horizontal="center" vertical="center" wrapText="1"/>
      <protection locked="1" hidden="1"/>
    </xf>
    <xf numFmtId="165" fontId="84" fillId="0" borderId="0" applyAlignment="1" applyProtection="1" pivotButton="0" quotePrefix="0" xfId="714">
      <alignment horizontal="right" vertical="center" wrapText="1"/>
      <protection locked="1" hidden="1"/>
    </xf>
    <xf numFmtId="0" fontId="83" fillId="0" borderId="0" applyAlignment="1" applyProtection="1" pivotButton="0" quotePrefix="0" xfId="0">
      <alignment horizontal="left" vertical="center"/>
      <protection locked="0" hidden="0"/>
    </xf>
    <xf numFmtId="49" fontId="83" fillId="0" borderId="0" applyAlignment="1" applyProtection="1" pivotButton="0" quotePrefix="0" xfId="0">
      <alignment horizontal="left" vertical="center"/>
      <protection locked="0" hidden="0"/>
    </xf>
    <xf numFmtId="165" fontId="83" fillId="0" borderId="0" applyAlignment="1" applyProtection="1" pivotButton="0" quotePrefix="0" xfId="714">
      <alignment horizontal="center" vertical="center" wrapText="1"/>
      <protection locked="0" hidden="0"/>
    </xf>
    <xf numFmtId="0" fontId="83" fillId="0" borderId="0" applyAlignment="1" applyProtection="1" pivotButton="0" quotePrefix="0" xfId="635">
      <alignment horizontal="left" vertical="center"/>
      <protection locked="1" hidden="1"/>
    </xf>
    <xf numFmtId="0" fontId="85" fillId="0" borderId="15" applyAlignment="1" applyProtection="1" pivotButton="0" quotePrefix="0" xfId="0">
      <alignment horizontal="left" vertical="center"/>
      <protection locked="1" hidden="1"/>
    </xf>
    <xf numFmtId="0" fontId="85" fillId="0" borderId="0" applyAlignment="1" applyProtection="1" pivotButton="0" quotePrefix="0" xfId="0">
      <alignment vertical="center"/>
      <protection locked="1" hidden="1"/>
    </xf>
    <xf numFmtId="0" fontId="88" fillId="0" borderId="0" applyAlignment="1" applyProtection="1" pivotButton="0" quotePrefix="0" xfId="0">
      <alignment vertical="center"/>
      <protection locked="1" hidden="1"/>
    </xf>
    <xf numFmtId="0" fontId="85" fillId="0" borderId="4" applyAlignment="1" applyProtection="1" pivotButton="0" quotePrefix="0" xfId="0">
      <alignment horizontal="center" vertical="center" wrapText="1"/>
      <protection locked="1" hidden="1"/>
    </xf>
    <xf numFmtId="0" fontId="84" fillId="0" borderId="0" applyAlignment="1" applyProtection="1" pivotButton="0" quotePrefix="0" xfId="0">
      <alignment horizontal="left" vertical="center" wrapText="1"/>
      <protection locked="1" hidden="1"/>
    </xf>
    <xf numFmtId="0" fontId="88" fillId="0" borderId="4" applyAlignment="1" applyProtection="1" pivotButton="0" quotePrefix="0" xfId="0">
      <alignment horizontal="left" vertical="center"/>
      <protection locked="1" hidden="1"/>
    </xf>
    <xf numFmtId="0" fontId="88" fillId="0" borderId="4" applyAlignment="1" applyProtection="1" pivotButton="0" quotePrefix="0" xfId="0">
      <alignment vertical="center"/>
      <protection locked="1" hidden="1"/>
    </xf>
    <xf numFmtId="0" fontId="88" fillId="29" borderId="4" applyAlignment="1" applyProtection="1" pivotButton="0" quotePrefix="0" xfId="0">
      <alignment horizontal="center" vertical="center" wrapText="1"/>
      <protection locked="0" hidden="0"/>
    </xf>
    <xf numFmtId="166" fontId="88" fillId="0" borderId="4" applyAlignment="1" pivotButton="0" quotePrefix="0" xfId="1">
      <alignment horizontal="center" vertical="center"/>
    </xf>
    <xf numFmtId="164" fontId="88" fillId="0" borderId="4" applyAlignment="1" pivotButton="0" quotePrefix="0" xfId="1">
      <alignment horizontal="center" vertical="center"/>
    </xf>
    <xf numFmtId="168" fontId="88" fillId="0" borderId="4" applyAlignment="1" pivotButton="0" quotePrefix="0" xfId="1">
      <alignment horizontal="center" vertical="center"/>
    </xf>
    <xf numFmtId="0" fontId="85" fillId="0" borderId="21" applyAlignment="1" applyProtection="1" pivotButton="0" quotePrefix="0" xfId="0">
      <alignment vertical="center"/>
      <protection locked="1" hidden="1"/>
    </xf>
    <xf numFmtId="0" fontId="85" fillId="0" borderId="22" applyAlignment="1" applyProtection="1" pivotButton="0" quotePrefix="0" xfId="0">
      <alignment vertical="center"/>
      <protection locked="1" hidden="1"/>
    </xf>
    <xf numFmtId="170" fontId="85" fillId="0" borderId="22" applyAlignment="1" applyProtection="1" pivotButton="0" quotePrefix="0" xfId="0">
      <alignment vertical="center"/>
      <protection locked="1" hidden="1"/>
    </xf>
    <xf numFmtId="0" fontId="85" fillId="29" borderId="4" applyAlignment="1" applyProtection="1" pivotButton="0" quotePrefix="0" xfId="0">
      <alignment horizontal="center" vertical="center" wrapText="1"/>
      <protection locked="0" hidden="0"/>
    </xf>
    <xf numFmtId="0" fontId="84" fillId="0" borderId="0" applyAlignment="1" applyProtection="1" pivotButton="0" quotePrefix="0" xfId="0">
      <alignment horizontal="left" vertical="center"/>
      <protection locked="1" hidden="1"/>
    </xf>
    <xf numFmtId="0" fontId="88" fillId="25" borderId="0" applyAlignment="1" applyProtection="1" pivotButton="0" quotePrefix="0" xfId="0">
      <alignment horizontal="left" vertical="center"/>
      <protection locked="1" hidden="1"/>
    </xf>
    <xf numFmtId="0" fontId="88" fillId="0" borderId="20" applyAlignment="1" applyProtection="1" pivotButton="0" quotePrefix="0" xfId="0">
      <alignment horizontal="left" vertical="center"/>
      <protection locked="1" hidden="1"/>
    </xf>
    <xf numFmtId="0" fontId="88" fillId="0" borderId="0" applyAlignment="1" applyProtection="1" pivotButton="0" quotePrefix="0" xfId="0">
      <alignment horizontal="left" vertical="center"/>
      <protection locked="1" hidden="1"/>
    </xf>
    <xf numFmtId="0" fontId="85" fillId="0" borderId="15" applyAlignment="1" applyProtection="1" pivotButton="0" quotePrefix="0" xfId="0">
      <alignment vertical="center"/>
      <protection locked="1" hidden="1"/>
    </xf>
    <xf numFmtId="0" fontId="88" fillId="0" borderId="15" applyAlignment="1" applyProtection="1" pivotButton="0" quotePrefix="0" xfId="0">
      <alignment vertical="center"/>
      <protection locked="1" hidden="1"/>
    </xf>
    <xf numFmtId="0" fontId="85" fillId="0" borderId="9" applyAlignment="1" applyProtection="1" pivotButton="0" quotePrefix="0" xfId="0">
      <alignment horizontal="center" vertical="center" wrapText="1"/>
      <protection locked="1" hidden="1"/>
    </xf>
    <xf numFmtId="0" fontId="88" fillId="29" borderId="9" applyAlignment="1" applyProtection="1" pivotButton="0" quotePrefix="0" xfId="0">
      <alignment horizontal="center" vertical="center" wrapText="1"/>
      <protection locked="0" hidden="0"/>
    </xf>
    <xf numFmtId="0" fontId="88" fillId="20" borderId="17" applyAlignment="1" applyProtection="1" pivotButton="0" quotePrefix="0" xfId="613">
      <alignment horizontal="center" vertical="center"/>
      <protection locked="1" hidden="1"/>
    </xf>
    <xf numFmtId="0" fontId="88" fillId="20" borderId="9" applyAlignment="1" applyProtection="1" pivotButton="0" quotePrefix="0" xfId="613">
      <alignment horizontal="center" vertical="center"/>
      <protection locked="1" hidden="1"/>
    </xf>
    <xf numFmtId="0" fontId="88" fillId="0" borderId="21" applyAlignment="1" applyProtection="1" pivotButton="0" quotePrefix="0" xfId="0">
      <alignment horizontal="left" vertical="center"/>
      <protection locked="1" hidden="1"/>
    </xf>
    <xf numFmtId="0" fontId="88" fillId="20" borderId="18" applyAlignment="1" applyProtection="1" pivotButton="0" quotePrefix="0" xfId="613">
      <alignment vertical="center"/>
      <protection locked="1" hidden="1"/>
    </xf>
    <xf numFmtId="0" fontId="88" fillId="20" borderId="19" applyAlignment="1" applyProtection="1" pivotButton="0" quotePrefix="0" xfId="613">
      <alignment vertical="center"/>
      <protection locked="1" hidden="1"/>
    </xf>
    <xf numFmtId="0" fontId="88" fillId="29" borderId="12" applyAlignment="1" applyProtection="1" pivotButton="0" quotePrefix="0" xfId="0">
      <alignment horizontal="center" vertical="center" wrapText="1"/>
      <protection locked="0" hidden="0"/>
    </xf>
    <xf numFmtId="0" fontId="88" fillId="20" borderId="23" applyAlignment="1" applyProtection="1" pivotButton="0" quotePrefix="0" xfId="613">
      <alignment horizontal="center" vertical="center"/>
      <protection locked="1" hidden="1"/>
    </xf>
    <xf numFmtId="0" fontId="88" fillId="20" borderId="16" applyAlignment="1" applyProtection="1" pivotButton="0" quotePrefix="0" xfId="613">
      <alignment vertical="center"/>
      <protection locked="1" hidden="1"/>
    </xf>
    <xf numFmtId="0" fontId="88" fillId="20" borderId="17" applyAlignment="1" applyProtection="1" pivotButton="0" quotePrefix="0" xfId="613">
      <alignment vertical="center"/>
      <protection locked="1" hidden="1"/>
    </xf>
    <xf numFmtId="0" fontId="88" fillId="20" borderId="24" applyAlignment="1" applyProtection="1" pivotButton="0" quotePrefix="0" xfId="613">
      <alignment vertical="center"/>
      <protection locked="1" hidden="1"/>
    </xf>
    <xf numFmtId="0" fontId="88" fillId="20" borderId="8" applyAlignment="1" applyProtection="1" pivotButton="0" quotePrefix="0" xfId="613">
      <alignment vertical="center"/>
      <protection locked="1" hidden="1"/>
    </xf>
    <xf numFmtId="0" fontId="88" fillId="29" borderId="23" applyAlignment="1" applyProtection="1" pivotButton="0" quotePrefix="0" xfId="0">
      <alignment horizontal="center" vertical="center" wrapText="1"/>
      <protection locked="0" hidden="0"/>
    </xf>
    <xf numFmtId="0" fontId="88" fillId="20" borderId="8" applyAlignment="1" applyProtection="1" pivotButton="0" quotePrefix="0" xfId="613">
      <alignment horizontal="center" vertical="center"/>
      <protection locked="1" hidden="1"/>
    </xf>
    <xf numFmtId="0" fontId="88" fillId="20" borderId="16" applyAlignment="1" applyProtection="1" pivotButton="0" quotePrefix="0" xfId="613">
      <alignment horizontal="center" vertical="center"/>
      <protection locked="1" hidden="1"/>
    </xf>
    <xf numFmtId="0" fontId="88" fillId="20" borderId="20" applyAlignment="1" applyProtection="1" pivotButton="0" quotePrefix="0" xfId="613">
      <alignment horizontal="center" vertical="center"/>
      <protection locked="1" hidden="1"/>
    </xf>
    <xf numFmtId="0" fontId="88" fillId="20" borderId="19" applyAlignment="1" applyProtection="1" pivotButton="0" quotePrefix="0" xfId="613">
      <alignment horizontal="center" vertical="center"/>
      <protection locked="1" hidden="1"/>
    </xf>
    <xf numFmtId="0" fontId="88" fillId="20" borderId="0" applyAlignment="1" applyProtection="1" pivotButton="0" quotePrefix="0" xfId="613">
      <alignment horizontal="center" vertical="center"/>
      <protection locked="1" hidden="1"/>
    </xf>
    <xf numFmtId="0" fontId="88" fillId="20" borderId="24" applyAlignment="1" applyProtection="1" pivotButton="0" quotePrefix="0" xfId="613">
      <alignment horizontal="center" vertical="center"/>
      <protection locked="1" hidden="1"/>
    </xf>
    <xf numFmtId="0" fontId="88" fillId="20" borderId="15" applyAlignment="1" applyProtection="1" pivotButton="0" quotePrefix="0" xfId="613">
      <alignment horizontal="center" vertical="center"/>
      <protection locked="1" hidden="1"/>
    </xf>
    <xf numFmtId="0" fontId="85" fillId="25" borderId="15" applyAlignment="1" applyProtection="1" pivotButton="0" quotePrefix="0" xfId="0">
      <alignment horizontal="left" vertical="center"/>
      <protection locked="1" hidden="1"/>
    </xf>
    <xf numFmtId="0" fontId="88" fillId="0" borderId="21" applyAlignment="1" applyProtection="1" pivotButton="0" quotePrefix="0" xfId="0">
      <alignment vertical="center"/>
      <protection locked="1" hidden="1"/>
    </xf>
    <xf numFmtId="0" fontId="85" fillId="0" borderId="4" applyAlignment="1" applyProtection="1" pivotButton="0" quotePrefix="0" xfId="0">
      <alignment horizontal="left" vertical="center"/>
      <protection locked="1" hidden="1"/>
    </xf>
    <xf numFmtId="0" fontId="88" fillId="0" borderId="16" applyAlignment="1" applyProtection="1" pivotButton="0" quotePrefix="0" xfId="0">
      <alignment horizontal="left" vertical="center"/>
      <protection locked="1" hidden="1"/>
    </xf>
    <xf numFmtId="0" fontId="85" fillId="0" borderId="0" applyAlignment="1" applyProtection="1" pivotButton="0" quotePrefix="0" xfId="636">
      <alignment vertical="center"/>
      <protection locked="1" hidden="1"/>
    </xf>
    <xf numFmtId="0" fontId="88" fillId="0" borderId="0" applyAlignment="1" applyProtection="1" pivotButton="0" quotePrefix="0" xfId="636">
      <alignment horizontal="left" vertical="center"/>
      <protection locked="1" hidden="1"/>
    </xf>
    <xf numFmtId="0" fontId="85" fillId="0" borderId="21" applyAlignment="1" applyProtection="1" pivotButton="0" quotePrefix="0" xfId="0">
      <alignment vertical="center" wrapText="1"/>
      <protection locked="1" hidden="1"/>
    </xf>
    <xf numFmtId="0" fontId="88" fillId="0" borderId="16" applyAlignment="1" applyProtection="1" pivotButton="0" quotePrefix="0" xfId="636">
      <alignment horizontal="left" vertical="center"/>
      <protection locked="1" hidden="1"/>
    </xf>
    <xf numFmtId="0" fontId="88" fillId="0" borderId="0" applyAlignment="1" applyProtection="1" pivotButton="0" quotePrefix="0" xfId="0">
      <alignment horizontal="center" vertical="center"/>
      <protection locked="1" hidden="1"/>
    </xf>
    <xf numFmtId="0" fontId="83" fillId="0" borderId="20" applyAlignment="1" applyProtection="1" pivotButton="0" quotePrefix="0" xfId="0">
      <alignment horizontal="left" vertical="center"/>
      <protection locked="1" hidden="1"/>
    </xf>
    <xf numFmtId="0" fontId="111" fillId="0" borderId="0" applyAlignment="1" applyProtection="1" pivotButton="0" quotePrefix="0" xfId="0">
      <alignment horizontal="left" vertical="center"/>
      <protection locked="1" hidden="1"/>
    </xf>
    <xf numFmtId="0" fontId="92" fillId="0" borderId="16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right" vertical="top" wrapText="1"/>
      <protection locked="1" hidden="1"/>
    </xf>
    <xf numFmtId="0" fontId="71" fillId="0" borderId="15" applyAlignment="1" applyProtection="1" pivotButton="0" quotePrefix="0" xfId="0">
      <alignment horizontal="left" vertical="center"/>
      <protection locked="1" hidden="1"/>
    </xf>
    <xf numFmtId="0" fontId="71" fillId="0" borderId="0" applyAlignment="1" applyProtection="1" pivotButton="0" quotePrefix="0" xfId="0">
      <alignment vertical="center"/>
      <protection locked="1" hidden="1"/>
    </xf>
    <xf numFmtId="0" fontId="71" fillId="0" borderId="9" applyAlignment="1" applyProtection="1" pivotButton="0" quotePrefix="0" xfId="0">
      <alignment horizontal="center" vertical="center" wrapText="1"/>
      <protection locked="1" hidden="1"/>
    </xf>
    <xf numFmtId="0" fontId="70" fillId="29" borderId="4" applyAlignment="1" applyProtection="1" pivotButton="0" quotePrefix="0" xfId="0">
      <alignment horizontal="center" vertical="center" wrapText="1"/>
      <protection locked="0" hidden="0"/>
    </xf>
    <xf numFmtId="166" fontId="70" fillId="0" borderId="4" applyAlignment="1" applyProtection="1" pivotButton="0" quotePrefix="0" xfId="0">
      <alignment horizontal="center" vertical="center" wrapText="1"/>
      <protection locked="1" hidden="1"/>
    </xf>
    <xf numFmtId="0" fontId="70" fillId="0" borderId="16" applyAlignment="1" applyProtection="1" pivotButton="0" quotePrefix="0" xfId="0">
      <alignment horizontal="left" vertical="center" wrapText="1"/>
      <protection locked="1" hidden="1"/>
    </xf>
    <xf numFmtId="170" fontId="70" fillId="0" borderId="0" applyAlignment="1" applyProtection="1" pivotButton="0" quotePrefix="0" xfId="0">
      <alignment vertical="center" wrapText="1"/>
      <protection locked="1" hidden="1"/>
    </xf>
    <xf numFmtId="170" fontId="70" fillId="0" borderId="17" applyAlignment="1" applyProtection="1" pivotButton="0" quotePrefix="0" xfId="0">
      <alignment vertical="center" wrapText="1"/>
      <protection locked="1" hidden="1"/>
    </xf>
    <xf numFmtId="0" fontId="71" fillId="0" borderId="4" applyAlignment="1" applyProtection="1" pivotButton="0" quotePrefix="0" xfId="0">
      <alignment horizontal="left" vertical="center" wrapText="1"/>
      <protection locked="1" hidden="1"/>
    </xf>
    <xf numFmtId="0" fontId="71" fillId="0" borderId="21" applyAlignment="1" applyProtection="1" pivotButton="0" quotePrefix="0" xfId="0">
      <alignment vertical="center" wrapText="1"/>
      <protection locked="1" hidden="1"/>
    </xf>
    <xf numFmtId="0" fontId="71" fillId="0" borderId="22" applyAlignment="1" applyProtection="1" pivotButton="0" quotePrefix="0" xfId="0">
      <alignment vertical="center" wrapText="1"/>
      <protection locked="1" hidden="1"/>
    </xf>
    <xf numFmtId="170" fontId="71" fillId="0" borderId="22" applyAlignment="1" applyProtection="1" pivotButton="0" quotePrefix="0" xfId="0">
      <alignment vertical="center" wrapText="1"/>
      <protection locked="1" hidden="1"/>
    </xf>
    <xf numFmtId="0" fontId="71" fillId="0" borderId="15" applyAlignment="1" applyProtection="1" pivotButton="0" quotePrefix="0" xfId="0">
      <alignment vertical="center"/>
      <protection locked="1" hidden="1"/>
    </xf>
    <xf numFmtId="0" fontId="105" fillId="0" borderId="16" applyAlignment="1" applyProtection="1" pivotButton="0" quotePrefix="0" xfId="636">
      <alignment vertical="center"/>
      <protection locked="1" hidden="1"/>
    </xf>
    <xf numFmtId="0" fontId="105" fillId="0" borderId="0" applyAlignment="1" applyProtection="1" pivotButton="0" quotePrefix="0" xfId="636">
      <alignment vertical="center"/>
      <protection locked="1" hidden="1"/>
    </xf>
    <xf numFmtId="0" fontId="105" fillId="0" borderId="0" applyAlignment="1" applyProtection="1" pivotButton="0" quotePrefix="0" xfId="0">
      <alignment horizontal="left" vertical="center" wrapText="1"/>
      <protection locked="1" hidden="1"/>
    </xf>
    <xf numFmtId="0" fontId="106" fillId="0" borderId="16" applyAlignment="1" applyProtection="1" pivotButton="0" quotePrefix="0" xfId="636">
      <alignment horizontal="left" vertical="center"/>
      <protection locked="1" hidden="1"/>
    </xf>
    <xf numFmtId="0" fontId="106" fillId="0" borderId="0" applyAlignment="1" applyProtection="1" pivotButton="0" quotePrefix="0" xfId="636">
      <alignment horizontal="left" vertical="center"/>
      <protection locked="1" hidden="1"/>
    </xf>
    <xf numFmtId="0" fontId="71" fillId="25" borderId="0" applyAlignment="1" applyProtection="1" pivotButton="0" quotePrefix="0" xfId="0">
      <alignment vertical="center" wrapText="1"/>
      <protection locked="1" hidden="1"/>
    </xf>
    <xf numFmtId="0" fontId="70" fillId="25" borderId="0" applyAlignment="1" applyProtection="1" pivotButton="0" quotePrefix="0" xfId="0">
      <alignment horizontal="center" vertical="center" wrapText="1"/>
      <protection locked="0" hidden="0"/>
    </xf>
    <xf numFmtId="0" fontId="106" fillId="25" borderId="0" applyAlignment="1" applyProtection="1" pivotButton="0" quotePrefix="0" xfId="636">
      <alignment horizontal="left" vertical="center"/>
      <protection locked="1" hidden="1"/>
    </xf>
    <xf numFmtId="0" fontId="105" fillId="25" borderId="0" applyAlignment="1" applyProtection="1" pivotButton="0" quotePrefix="0" xfId="0">
      <alignment horizontal="left" vertical="center"/>
      <protection locked="1" hidden="1"/>
    </xf>
    <xf numFmtId="0" fontId="103" fillId="25" borderId="0" applyAlignment="1" applyProtection="1" pivotButton="0" quotePrefix="0" xfId="0">
      <alignment horizontal="left" vertical="center"/>
      <protection locked="1" hidden="1"/>
    </xf>
    <xf numFmtId="0" fontId="71" fillId="0" borderId="0" applyAlignment="1" applyProtection="1" pivotButton="0" quotePrefix="0" xfId="636">
      <alignment vertical="center"/>
      <protection locked="1" hidden="1"/>
    </xf>
    <xf numFmtId="0" fontId="70" fillId="0" borderId="21" applyAlignment="1" applyProtection="1" pivotButton="0" quotePrefix="0" xfId="0">
      <alignment horizontal="left" vertical="center"/>
      <protection locked="1" hidden="1"/>
    </xf>
    <xf numFmtId="0" fontId="70" fillId="0" borderId="0" applyAlignment="1" applyProtection="1" pivotButton="0" quotePrefix="0" xfId="636">
      <alignment horizontal="left" vertical="center"/>
      <protection locked="1" hidden="1"/>
    </xf>
    <xf numFmtId="0" fontId="92" fillId="0" borderId="20" applyAlignment="1" applyProtection="1" pivotButton="0" quotePrefix="0" xfId="0">
      <alignment horizontal="left" vertical="center"/>
      <protection locked="1" hidden="1"/>
    </xf>
    <xf numFmtId="0" fontId="92" fillId="25" borderId="0" applyAlignment="1" pivotButton="0" quotePrefix="0" xfId="0">
      <alignment horizontal="left" vertical="center"/>
    </xf>
    <xf numFmtId="0" fontId="92" fillId="0" borderId="16" applyAlignment="1" pivotButton="0" quotePrefix="0" xfId="0">
      <alignment horizontal="left" vertical="center"/>
    </xf>
    <xf numFmtId="0" fontId="92" fillId="0" borderId="17" applyAlignment="1" pivotButton="0" quotePrefix="0" xfId="0">
      <alignment horizontal="left" vertical="center"/>
    </xf>
    <xf numFmtId="0" fontId="92" fillId="0" borderId="0" applyAlignment="1" pivotButton="0" quotePrefix="0" xfId="0">
      <alignment horizontal="left" vertical="center"/>
    </xf>
    <xf numFmtId="165" fontId="64" fillId="0" borderId="0" applyAlignment="1" pivotButton="0" quotePrefix="0" xfId="714">
      <alignment horizontal="right" vertical="top" wrapText="1"/>
    </xf>
    <xf numFmtId="0" fontId="64" fillId="0" borderId="0" applyAlignment="1" pivotButton="0" quotePrefix="0" xfId="0">
      <alignment vertical="center" wrapText="1"/>
    </xf>
    <xf numFmtId="0" fontId="92" fillId="0" borderId="0" applyAlignment="1" pivotButton="0" quotePrefix="0" xfId="635">
      <alignment horizontal="left" vertical="center"/>
    </xf>
    <xf numFmtId="0" fontId="71" fillId="0" borderId="16" applyAlignment="1" pivotButton="0" quotePrefix="0" xfId="0">
      <alignment horizontal="left" vertical="center"/>
    </xf>
    <xf numFmtId="0" fontId="71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4" applyAlignment="1" pivotButton="0" quotePrefix="0" xfId="0">
      <alignment horizontal="center" vertical="center" wrapText="1"/>
    </xf>
    <xf numFmtId="0" fontId="71" fillId="0" borderId="9" applyAlignment="1" pivotButton="0" quotePrefix="0" xfId="0">
      <alignment vertical="center" wrapText="1"/>
    </xf>
    <xf numFmtId="0" fontId="64" fillId="0" borderId="0" applyAlignment="1" pivotButton="0" quotePrefix="0" xfId="0">
      <alignment horizontal="left" vertical="center" wrapText="1"/>
    </xf>
    <xf numFmtId="0" fontId="71" fillId="0" borderId="14" applyAlignment="1" pivotButton="0" quotePrefix="0" xfId="0">
      <alignment horizontal="center" vertical="center" wrapText="1"/>
    </xf>
    <xf numFmtId="0" fontId="71" fillId="0" borderId="14" applyAlignment="1" pivotButton="0" quotePrefix="0" xfId="0">
      <alignment vertical="center" wrapText="1"/>
    </xf>
    <xf numFmtId="164" fontId="70" fillId="0" borderId="4" applyAlignment="1" pivotButton="0" quotePrefix="0" xfId="0">
      <alignment horizontal="center" vertical="center"/>
    </xf>
    <xf numFmtId="0" fontId="70" fillId="0" borderId="4" applyAlignment="1" pivotButton="0" quotePrefix="0" xfId="0">
      <alignment vertical="center"/>
    </xf>
    <xf numFmtId="0" fontId="70" fillId="0" borderId="17" applyAlignment="1" applyProtection="1" pivotButton="0" quotePrefix="0" xfId="0">
      <alignment horizontal="left" vertical="center" wrapText="1"/>
      <protection locked="1" hidden="1"/>
    </xf>
    <xf numFmtId="0" fontId="71" fillId="0" borderId="21" applyAlignment="1" pivotButton="0" quotePrefix="0" xfId="0">
      <alignment vertical="center"/>
    </xf>
    <xf numFmtId="0" fontId="70" fillId="0" borderId="22" applyAlignment="1" pivotButton="0" quotePrefix="0" xfId="0">
      <alignment vertical="center"/>
    </xf>
    <xf numFmtId="170" fontId="70" fillId="0" borderId="22" applyAlignment="1" pivotButton="0" quotePrefix="0" xfId="0">
      <alignment vertical="center"/>
    </xf>
    <xf numFmtId="0" fontId="70" fillId="0" borderId="0" applyAlignment="1" pivotButton="0" quotePrefix="0" xfId="0">
      <alignment horizontal="left" vertical="center"/>
    </xf>
    <xf numFmtId="170" fontId="70" fillId="0" borderId="0" applyAlignment="1" pivotButton="0" quotePrefix="0" xfId="0">
      <alignment vertical="center"/>
    </xf>
    <xf numFmtId="170" fontId="70" fillId="25" borderId="0" applyAlignment="1" pivotButton="0" quotePrefix="0" xfId="0">
      <alignment vertical="center"/>
    </xf>
    <xf numFmtId="0" fontId="71" fillId="0" borderId="0" applyAlignment="1" applyProtection="1" pivotButton="0" quotePrefix="0" xfId="0">
      <alignment horizontal="left" vertical="center" wrapText="1"/>
      <protection locked="1" hidden="1"/>
    </xf>
    <xf numFmtId="0" fontId="71" fillId="0" borderId="15" applyAlignment="1" applyProtection="1" pivotButton="0" quotePrefix="0" xfId="0">
      <alignment horizontal="left" vertical="center" wrapText="1"/>
      <protection locked="1" hidden="1"/>
    </xf>
    <xf numFmtId="0" fontId="70" fillId="25" borderId="0" applyAlignment="1" pivotButton="0" quotePrefix="0" xfId="0">
      <alignment horizontal="left" vertical="center"/>
    </xf>
    <xf numFmtId="0" fontId="71" fillId="0" borderId="0" applyAlignment="1" applyProtection="1" pivotButton="0" quotePrefix="0" xfId="636">
      <alignment horizontal="center" vertical="center" wrapText="1"/>
      <protection locked="1" hidden="1"/>
    </xf>
    <xf numFmtId="0" fontId="70" fillId="0" borderId="21" applyAlignment="1" pivotButton="0" quotePrefix="0" xfId="0">
      <alignment horizontal="left" vertical="center"/>
    </xf>
    <xf numFmtId="0" fontId="70" fillId="0" borderId="20" applyAlignment="1" pivotButton="0" quotePrefix="0" xfId="0">
      <alignment horizontal="left" vertical="center"/>
    </xf>
    <xf numFmtId="0" fontId="71" fillId="0" borderId="4" applyAlignment="1" pivotButton="0" quotePrefix="0" xfId="0">
      <alignment horizontal="left" vertical="center"/>
    </xf>
    <xf numFmtId="0" fontId="71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horizontal="left" vertical="center"/>
    </xf>
    <xf numFmtId="0" fontId="70" fillId="0" borderId="4" applyAlignment="1" pivotButton="0" quotePrefix="0" xfId="0">
      <alignment vertical="center" wrapText="1"/>
    </xf>
    <xf numFmtId="0" fontId="71" fillId="0" borderId="4" applyAlignment="1" pivotButton="0" quotePrefix="0" xfId="0">
      <alignment vertical="center" wrapText="1"/>
    </xf>
    <xf numFmtId="0" fontId="92" fillId="0" borderId="20" applyAlignment="1" pivotButton="0" quotePrefix="0" xfId="0">
      <alignment horizontal="left" vertical="center"/>
    </xf>
    <xf numFmtId="49" fontId="92" fillId="0" borderId="0" applyAlignment="1" applyProtection="1" pivotButton="0" quotePrefix="0" xfId="0">
      <alignment horizontal="left" vertical="center"/>
      <protection locked="1" hidden="1"/>
    </xf>
    <xf numFmtId="0" fontId="71" fillId="0" borderId="16" applyAlignment="1" applyProtection="1" pivotButton="0" quotePrefix="0" xfId="0">
      <alignment horizontal="left" vertical="center"/>
      <protection locked="1" hidden="1"/>
    </xf>
    <xf numFmtId="0" fontId="70" fillId="0" borderId="21" applyAlignment="1" applyProtection="1" pivotButton="0" quotePrefix="0" xfId="0">
      <alignment vertical="center"/>
      <protection locked="1" hidden="1"/>
    </xf>
    <xf numFmtId="0" fontId="70" fillId="25" borderId="0" applyAlignment="1" applyProtection="1" pivotButton="0" quotePrefix="0" xfId="0">
      <alignment horizontal="left" vertical="center"/>
      <protection locked="1" hidden="1"/>
    </xf>
    <xf numFmtId="0" fontId="70" fillId="0" borderId="20" applyAlignment="1" applyProtection="1" pivotButton="0" quotePrefix="0" xfId="0">
      <alignment horizontal="left" vertical="center"/>
      <protection locked="1" hidden="1"/>
    </xf>
    <xf numFmtId="166" fontId="70" fillId="0" borderId="4" applyAlignment="1" applyProtection="1" pivotButton="0" quotePrefix="0" xfId="1">
      <alignment horizontal="center" vertical="center"/>
      <protection locked="1" hidden="1"/>
    </xf>
    <xf numFmtId="0" fontId="70" fillId="0" borderId="16" applyAlignment="1" applyProtection="1" pivotButton="0" quotePrefix="0" xfId="0">
      <alignment horizontal="left" vertical="center"/>
      <protection locked="1" hidden="1"/>
    </xf>
    <xf numFmtId="0" fontId="71" fillId="0" borderId="21" applyAlignment="1" applyProtection="1" pivotButton="0" quotePrefix="0" xfId="0">
      <alignment vertical="center"/>
      <protection locked="1" hidden="1"/>
    </xf>
    <xf numFmtId="0" fontId="71" fillId="0" borderId="22" applyAlignment="1" applyProtection="1" pivotButton="0" quotePrefix="0" xfId="0">
      <alignment vertical="center"/>
      <protection locked="1" hidden="1"/>
    </xf>
    <xf numFmtId="0" fontId="70" fillId="0" borderId="22" applyAlignment="1" applyProtection="1" pivotButton="0" quotePrefix="0" xfId="0">
      <alignment vertical="center" wrapText="1"/>
      <protection locked="1" hidden="1"/>
    </xf>
    <xf numFmtId="0" fontId="70" fillId="25" borderId="12" applyAlignment="1" applyProtection="1" pivotButton="0" quotePrefix="0" xfId="0">
      <alignment horizontal="center" vertical="center" wrapText="1"/>
      <protection locked="0" hidden="0"/>
    </xf>
    <xf numFmtId="0" fontId="70" fillId="25" borderId="0" applyAlignment="1" applyProtection="1" pivotButton="0" quotePrefix="0" xfId="0">
      <alignment vertical="center" wrapText="1"/>
      <protection locked="1" hidden="1"/>
    </xf>
    <xf numFmtId="0" fontId="103" fillId="0" borderId="0" applyAlignment="1" applyProtection="1" pivotButton="0" quotePrefix="0" xfId="636">
      <alignment vertical="center"/>
      <protection locked="1" hidden="1"/>
    </xf>
    <xf numFmtId="0" fontId="102" fillId="0" borderId="0" applyAlignment="1" applyProtection="1" pivotButton="0" quotePrefix="0" xfId="636">
      <alignment horizontal="left" vertical="center"/>
      <protection locked="1" hidden="1"/>
    </xf>
    <xf numFmtId="0" fontId="103" fillId="0" borderId="0" applyAlignment="1" applyProtection="1" pivotButton="0" quotePrefix="0" xfId="0">
      <alignment vertical="center"/>
      <protection locked="1" hidden="1"/>
    </xf>
    <xf numFmtId="0" fontId="105" fillId="0" borderId="18" applyAlignment="1" applyProtection="1" pivotButton="0" quotePrefix="0" xfId="704">
      <alignment vertical="center"/>
      <protection locked="1" hidden="1"/>
    </xf>
    <xf numFmtId="0" fontId="105" fillId="0" borderId="0" applyAlignment="1" applyProtection="1" pivotButton="0" quotePrefix="0" xfId="704">
      <alignment vertical="center"/>
      <protection locked="1" hidden="1"/>
    </xf>
    <xf numFmtId="0" fontId="105" fillId="0" borderId="17" applyAlignment="1" applyProtection="1" pivotButton="0" quotePrefix="0" xfId="704">
      <alignment vertical="center"/>
      <protection locked="1" hidden="1"/>
    </xf>
    <xf numFmtId="0" fontId="105" fillId="0" borderId="8" applyAlignment="1" applyProtection="1" pivotButton="0" quotePrefix="0" xfId="704">
      <alignment vertical="center"/>
      <protection locked="1" hidden="1"/>
    </xf>
    <xf numFmtId="0" fontId="105" fillId="0" borderId="9" applyAlignment="1" applyProtection="1" pivotButton="0" quotePrefix="0" xfId="704">
      <alignment horizontal="center" vertical="center" wrapText="1"/>
      <protection locked="1" hidden="1"/>
    </xf>
    <xf numFmtId="0" fontId="107" fillId="0" borderId="4" applyAlignment="1" applyProtection="1" pivotButton="0" quotePrefix="0" xfId="0">
      <alignment horizontal="center" vertical="center"/>
      <protection locked="0" hidden="0"/>
    </xf>
    <xf numFmtId="0" fontId="107" fillId="0" borderId="4" applyAlignment="1" applyProtection="1" pivotButton="0" quotePrefix="0" xfId="0">
      <alignment horizontal="center" vertical="center" wrapText="1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0" fontId="106" fillId="29" borderId="4" applyAlignment="1" applyProtection="1" pivotButton="0" quotePrefix="0" xfId="0">
      <alignment horizontal="center" vertical="center" wrapText="1"/>
      <protection locked="0" hidden="0"/>
    </xf>
    <xf numFmtId="0" fontId="103" fillId="0" borderId="0" applyAlignment="1" applyProtection="1" pivotButton="0" quotePrefix="0" xfId="0">
      <alignment vertical="center"/>
      <protection locked="0" hidden="0"/>
    </xf>
    <xf numFmtId="0" fontId="114" fillId="0" borderId="0" applyAlignment="1" applyProtection="1" pivotButton="0" quotePrefix="0" xfId="636">
      <alignment vertical="center"/>
      <protection locked="1" hidden="1"/>
    </xf>
    <xf numFmtId="0" fontId="114" fillId="0" borderId="0" applyAlignment="1" applyProtection="1" pivotButton="0" quotePrefix="0" xfId="636">
      <alignment vertical="center"/>
      <protection locked="0" hidden="0"/>
    </xf>
    <xf numFmtId="0" fontId="105" fillId="0" borderId="4" applyAlignment="1" applyProtection="1" pivotButton="0" quotePrefix="0" xfId="636">
      <alignment vertical="center" wrapText="1"/>
      <protection locked="1" hidden="1"/>
    </xf>
    <xf numFmtId="0" fontId="106" fillId="29" borderId="4" applyAlignment="1" applyProtection="1" pivotButton="0" quotePrefix="0" xfId="0">
      <alignment vertical="center" wrapText="1"/>
      <protection locked="0" hidden="0"/>
    </xf>
    <xf numFmtId="49" fontId="106" fillId="0" borderId="4" applyAlignment="1" applyProtection="1" pivotButton="0" quotePrefix="0" xfId="704">
      <alignment horizontal="center" vertical="center"/>
      <protection locked="0" hidden="0"/>
    </xf>
    <xf numFmtId="0" fontId="105" fillId="0" borderId="4" applyAlignment="1" pivotButton="0" quotePrefix="0" xfId="0">
      <alignment vertical="center"/>
    </xf>
    <xf numFmtId="0" fontId="106" fillId="0" borderId="0" applyAlignment="1" pivotButton="0" quotePrefix="0" xfId="0">
      <alignment horizontal="left" vertical="center"/>
    </xf>
    <xf numFmtId="165" fontId="105" fillId="0" borderId="0" applyAlignment="1" pivotButton="0" quotePrefix="0" xfId="714">
      <alignment horizontal="right" vertical="top" wrapText="1"/>
    </xf>
    <xf numFmtId="0" fontId="115" fillId="0" borderId="0" applyAlignment="1" applyProtection="1" pivotButton="0" quotePrefix="0" xfId="0">
      <alignment horizontal="left" vertical="center"/>
      <protection locked="1" hidden="1"/>
    </xf>
    <xf numFmtId="0" fontId="105" fillId="0" borderId="0" applyAlignment="1" applyProtection="1" pivotButton="0" quotePrefix="0" xfId="0">
      <alignment horizontal="center" vertical="center"/>
      <protection locked="1" hidden="1"/>
    </xf>
    <xf numFmtId="49" fontId="105" fillId="0" borderId="0" applyAlignment="1" applyProtection="1" pivotButton="0" quotePrefix="0" xfId="0">
      <alignment horizontal="center" vertical="center"/>
      <protection locked="1" hidden="1"/>
    </xf>
    <xf numFmtId="165" fontId="105" fillId="0" borderId="0" applyAlignment="1" applyProtection="1" pivotButton="0" quotePrefix="0" xfId="714">
      <alignment horizontal="center" vertical="center" wrapText="1"/>
      <protection locked="1" hidden="1"/>
    </xf>
    <xf numFmtId="165" fontId="105" fillId="0" borderId="0" applyAlignment="1" applyProtection="1" pivotButton="0" quotePrefix="0" xfId="714">
      <alignment horizontal="right" vertical="center" wrapText="1"/>
      <protection locked="1" hidden="1"/>
    </xf>
    <xf numFmtId="49" fontId="106" fillId="0" borderId="0" applyAlignment="1" applyProtection="1" pivotButton="0" quotePrefix="0" xfId="0">
      <alignment horizontal="left" vertical="center"/>
      <protection locked="0" hidden="0"/>
    </xf>
    <xf numFmtId="165" fontId="106" fillId="0" borderId="0" applyAlignment="1" applyProtection="1" pivotButton="0" quotePrefix="0" xfId="714">
      <alignment horizontal="center" vertical="center" wrapText="1"/>
      <protection locked="0" hidden="0"/>
    </xf>
    <xf numFmtId="0" fontId="106" fillId="0" borderId="0" applyAlignment="1" pivotButton="0" quotePrefix="0" xfId="0">
      <alignment vertical="center"/>
    </xf>
    <xf numFmtId="0" fontId="106" fillId="0" borderId="4" applyAlignment="1" pivotButton="0" quotePrefix="0" xfId="704">
      <alignment horizontal="center" vertical="center" wrapText="1"/>
    </xf>
    <xf numFmtId="0" fontId="71" fillId="0" borderId="4" applyAlignment="1" pivotButton="0" quotePrefix="0" xfId="0">
      <alignment vertical="center"/>
    </xf>
    <xf numFmtId="0" fontId="105" fillId="29" borderId="4" applyAlignment="1" applyProtection="1" pivotButton="0" quotePrefix="0" xfId="0">
      <alignment horizontal="center" vertical="center" wrapText="1"/>
      <protection locked="0" hidden="0"/>
    </xf>
    <xf numFmtId="0" fontId="105" fillId="0" borderId="0" applyAlignment="1" pivotButton="0" quotePrefix="0" xfId="0">
      <alignment horizontal="left" vertical="center"/>
    </xf>
    <xf numFmtId="0" fontId="116" fillId="0" borderId="0" applyAlignment="1" applyProtection="1" pivotButton="0" quotePrefix="0" xfId="0">
      <alignment vertical="center" wrapText="1"/>
      <protection locked="1" hidden="1"/>
    </xf>
    <xf numFmtId="0" fontId="102" fillId="25" borderId="0" applyAlignment="1" applyProtection="1" pivotButton="0" quotePrefix="0" xfId="0">
      <alignment horizontal="left" vertical="center"/>
      <protection locked="1" hidden="1"/>
    </xf>
    <xf numFmtId="167" fontId="105" fillId="25" borderId="14" applyAlignment="1" applyProtection="1" pivotButton="0" quotePrefix="0" xfId="707">
      <alignment horizontal="center" vertical="center" wrapText="1"/>
      <protection locked="1" hidden="1"/>
    </xf>
    <xf numFmtId="0" fontId="103" fillId="0" borderId="4" applyAlignment="1" applyProtection="1" pivotButton="0" quotePrefix="0" xfId="634">
      <alignment horizontal="center" vertical="center"/>
      <protection locked="0" hidden="0"/>
    </xf>
    <xf numFmtId="0" fontId="64" fillId="0" borderId="0" applyAlignment="1" applyProtection="1" pivotButton="0" quotePrefix="0" xfId="0">
      <alignment vertical="center" wrapText="1"/>
      <protection locked="1" hidden="1"/>
    </xf>
    <xf numFmtId="0" fontId="118" fillId="0" borderId="0" applyAlignment="1" applyProtection="1" pivotButton="0" quotePrefix="0" xfId="0">
      <alignment vertical="center" wrapText="1"/>
      <protection locked="1" hidden="1"/>
    </xf>
    <xf numFmtId="0" fontId="118" fillId="0" borderId="0" applyAlignment="1" applyProtection="1" pivotButton="0" quotePrefix="0" xfId="0">
      <alignment horizontal="center" vertical="center" wrapText="1"/>
      <protection locked="1" hidden="1"/>
    </xf>
    <xf numFmtId="0" fontId="71" fillId="25" borderId="4" applyAlignment="1" applyProtection="1" pivotButton="0" quotePrefix="0" xfId="632">
      <alignment vertical="center" wrapText="1"/>
      <protection locked="1" hidden="1"/>
    </xf>
    <xf numFmtId="0" fontId="70" fillId="0" borderId="4" applyAlignment="1" applyProtection="1" pivotButton="0" quotePrefix="0" xfId="632">
      <alignment horizontal="left" vertical="center" wrapText="1"/>
      <protection locked="1" hidden="1"/>
    </xf>
    <xf numFmtId="0" fontId="70" fillId="0" borderId="4" applyAlignment="1" applyProtection="1" pivotButton="0" quotePrefix="0" xfId="632">
      <alignment vertical="center" wrapText="1"/>
      <protection locked="1" hidden="1"/>
    </xf>
    <xf numFmtId="0" fontId="71" fillId="0" borderId="4" applyAlignment="1" applyProtection="1" pivotButton="0" quotePrefix="0" xfId="632">
      <alignment vertical="center" wrapText="1"/>
      <protection locked="1" hidden="1"/>
    </xf>
    <xf numFmtId="0" fontId="71" fillId="29" borderId="4" applyAlignment="1" applyProtection="1" pivotButton="0" quotePrefix="0" xfId="0">
      <alignment horizontal="center" vertical="center" wrapText="1"/>
      <protection locked="0" hidden="0"/>
    </xf>
    <xf numFmtId="0" fontId="71" fillId="0" borderId="4" applyAlignment="1" applyProtection="1" pivotButton="0" quotePrefix="0" xfId="423">
      <alignment vertical="center" wrapText="1"/>
      <protection locked="1" hidden="1"/>
    </xf>
    <xf numFmtId="0" fontId="119" fillId="0" borderId="0" applyAlignment="1" applyProtection="1" pivotButton="0" quotePrefix="0" xfId="712">
      <alignment vertical="center"/>
      <protection locked="1" hidden="1"/>
    </xf>
    <xf numFmtId="49" fontId="71" fillId="0" borderId="0" applyAlignment="1" applyProtection="1" pivotButton="0" quotePrefix="0" xfId="712">
      <alignment vertical="center"/>
      <protection locked="1" hidden="1"/>
    </xf>
    <xf numFmtId="0" fontId="119" fillId="0" borderId="0" applyAlignment="1" applyProtection="1" pivotButton="0" quotePrefix="0" xfId="712">
      <alignment horizontal="right" vertical="center"/>
      <protection locked="1" hidden="1"/>
    </xf>
    <xf numFmtId="0" fontId="92" fillId="0" borderId="0" applyAlignment="1" applyProtection="1" pivotButton="0" quotePrefix="0" xfId="712">
      <alignment vertical="center"/>
      <protection locked="1" hidden="1"/>
    </xf>
    <xf numFmtId="0" fontId="92" fillId="0" borderId="25" applyAlignment="1" applyProtection="1" pivotButton="0" quotePrefix="0" xfId="712">
      <alignment vertical="center"/>
      <protection locked="1" hidden="1"/>
    </xf>
    <xf numFmtId="49" fontId="70" fillId="0" borderId="0" applyAlignment="1" applyProtection="1" pivotButton="0" quotePrefix="0" xfId="712">
      <alignment vertical="center"/>
      <protection locked="1" hidden="1"/>
    </xf>
    <xf numFmtId="0" fontId="92" fillId="0" borderId="26" applyAlignment="1" applyProtection="1" pivotButton="0" quotePrefix="0" xfId="712">
      <alignment vertical="center"/>
      <protection locked="1" hidden="1"/>
    </xf>
    <xf numFmtId="0" fontId="71" fillId="0" borderId="4" applyAlignment="1" applyProtection="1" pivotButton="0" quotePrefix="0" xfId="712">
      <alignment horizontal="center" vertical="center" wrapText="1"/>
      <protection locked="1" hidden="1"/>
    </xf>
    <xf numFmtId="0" fontId="71" fillId="0" borderId="0" applyAlignment="1" applyProtection="1" pivotButton="0" quotePrefix="0" xfId="712">
      <alignment horizontal="center" vertical="center" wrapText="1"/>
      <protection locked="1" hidden="1"/>
    </xf>
    <xf numFmtId="0" fontId="70" fillId="0" borderId="16" applyAlignment="1" applyProtection="1" pivotButton="0" quotePrefix="0" xfId="712">
      <alignment horizontal="center" vertical="center"/>
      <protection locked="1" hidden="1"/>
    </xf>
    <xf numFmtId="0" fontId="70" fillId="0" borderId="0" applyAlignment="1" applyProtection="1" pivotButton="0" quotePrefix="0" xfId="712">
      <alignment vertical="center"/>
      <protection locked="1" hidden="1"/>
    </xf>
    <xf numFmtId="0" fontId="92" fillId="0" borderId="0" applyAlignment="1" applyProtection="1" pivotButton="0" quotePrefix="0" xfId="712">
      <alignment vertical="center"/>
      <protection locked="0" hidden="0"/>
    </xf>
    <xf numFmtId="0" fontId="70" fillId="0" borderId="0" applyAlignment="1" applyProtection="1" pivotButton="0" quotePrefix="0" xfId="712">
      <alignment horizontal="left" vertical="center"/>
      <protection locked="1" hidden="1"/>
    </xf>
    <xf numFmtId="0" fontId="71" fillId="0" borderId="0" applyAlignment="1" applyProtection="1" pivotButton="0" quotePrefix="0" xfId="712">
      <alignment horizontal="left" vertical="center"/>
      <protection locked="1" hidden="1"/>
    </xf>
    <xf numFmtId="0" fontId="70" fillId="0" borderId="0" applyAlignment="1" applyProtection="1" pivotButton="0" quotePrefix="0" xfId="712">
      <alignment horizontal="right" vertical="center"/>
      <protection locked="1" hidden="1"/>
    </xf>
    <xf numFmtId="0" fontId="71" fillId="0" borderId="0" applyAlignment="1" applyProtection="1" pivotButton="0" quotePrefix="0" xfId="712">
      <alignment horizontal="right" vertical="center"/>
      <protection locked="1" hidden="1"/>
    </xf>
    <xf numFmtId="0" fontId="70" fillId="20" borderId="4" applyAlignment="1" applyProtection="1" pivotButton="0" quotePrefix="0" xfId="613">
      <alignment vertical="center"/>
      <protection locked="1" hidden="1"/>
    </xf>
    <xf numFmtId="0" fontId="92" fillId="0" borderId="0" applyAlignment="1" applyProtection="1" pivotButton="0" quotePrefix="0" xfId="0">
      <alignment vertical="center"/>
      <protection locked="1" hidden="1"/>
    </xf>
    <xf numFmtId="0" fontId="71" fillId="20" borderId="21" applyAlignment="1" applyProtection="1" pivotButton="0" quotePrefix="0" xfId="613">
      <alignment vertical="center"/>
      <protection locked="0" hidden="0"/>
    </xf>
    <xf numFmtId="0" fontId="71" fillId="20" borderId="22" applyAlignment="1" applyProtection="1" pivotButton="0" quotePrefix="0" xfId="613">
      <alignment vertical="center"/>
      <protection locked="0" hidden="0"/>
    </xf>
    <xf numFmtId="0" fontId="71" fillId="20" borderId="12" applyAlignment="1" applyProtection="1" pivotButton="0" quotePrefix="0" xfId="613">
      <alignment vertical="center"/>
      <protection locked="0" hidden="0"/>
    </xf>
    <xf numFmtId="0" fontId="72" fillId="0" borderId="0" applyAlignment="1" applyProtection="1" pivotButton="0" quotePrefix="0" xfId="0">
      <alignment horizontal="left" vertical="center"/>
      <protection locked="1" hidden="1"/>
    </xf>
    <xf numFmtId="0" fontId="120" fillId="0" borderId="0" applyAlignment="1" applyProtection="1" pivotButton="0" quotePrefix="0" xfId="0">
      <alignment horizontal="left" vertical="center"/>
      <protection locked="1" hidden="1"/>
    </xf>
    <xf numFmtId="0" fontId="71" fillId="0" borderId="4" applyAlignment="1" applyProtection="1" pivotButton="0" quotePrefix="0" xfId="636">
      <alignment vertical="center"/>
      <protection locked="1" hidden="1"/>
    </xf>
    <xf numFmtId="0" fontId="70" fillId="0" borderId="4" applyAlignment="1" applyProtection="1" pivotButton="0" quotePrefix="0" xfId="636">
      <alignment vertical="center"/>
      <protection locked="1" hidden="1"/>
    </xf>
    <xf numFmtId="0" fontId="92" fillId="0" borderId="0" applyAlignment="1" applyProtection="1" pivotButton="0" quotePrefix="0" xfId="636">
      <alignment vertical="center"/>
      <protection locked="1" hidden="1"/>
    </xf>
    <xf numFmtId="0" fontId="92" fillId="25" borderId="0" applyAlignment="1" applyProtection="1" pivotButton="0" quotePrefix="0" xfId="0">
      <alignment horizontal="center" vertical="center" wrapText="1"/>
      <protection locked="0" hidden="0"/>
    </xf>
    <xf numFmtId="0" fontId="71" fillId="0" borderId="9" applyAlignment="1" applyProtection="1" pivotButton="0" quotePrefix="0" xfId="712">
      <alignment vertical="center" wrapText="1"/>
      <protection locked="1" hidden="1"/>
    </xf>
    <xf numFmtId="49" fontId="70" fillId="0" borderId="4" applyAlignment="1" applyProtection="1" pivotButton="0" quotePrefix="0" xfId="713">
      <alignment horizontal="left" vertical="center"/>
      <protection locked="1" hidden="1"/>
    </xf>
    <xf numFmtId="49" fontId="70" fillId="0" borderId="4" applyAlignment="1" applyProtection="1" pivotButton="0" quotePrefix="0" xfId="713">
      <alignment horizontal="left" vertical="center" wrapText="1"/>
      <protection locked="1" hidden="1"/>
    </xf>
    <xf numFmtId="49" fontId="70" fillId="25" borderId="4" applyAlignment="1" applyProtection="1" pivotButton="0" quotePrefix="0" xfId="713">
      <alignment horizontal="left" vertical="center"/>
      <protection locked="1" hidden="1"/>
    </xf>
    <xf numFmtId="0" fontId="92" fillId="25" borderId="0" applyAlignment="1" applyProtection="1" pivotButton="0" quotePrefix="0" xfId="0">
      <alignment horizontal="left" vertical="center"/>
      <protection locked="0" hidden="0"/>
    </xf>
    <xf numFmtId="0" fontId="70" fillId="0" borderId="24" applyAlignment="1" applyProtection="1" pivotButton="0" quotePrefix="0" xfId="712">
      <alignment horizontal="left" vertical="center"/>
      <protection locked="1" hidden="1"/>
    </xf>
    <xf numFmtId="49" fontId="71" fillId="0" borderId="4" applyAlignment="1" applyProtection="1" pivotButton="0" quotePrefix="0" xfId="713">
      <alignment horizontal="left" vertical="center" wrapText="1"/>
      <protection locked="1" hidden="1"/>
    </xf>
    <xf numFmtId="0" fontId="92" fillId="20" borderId="4" applyAlignment="1" applyProtection="1" pivotButton="0" quotePrefix="0" xfId="613">
      <alignment vertical="center"/>
      <protection locked="0" hidden="1"/>
    </xf>
    <xf numFmtId="0" fontId="64" fillId="0" borderId="0" applyAlignment="1" applyProtection="1" pivotButton="0" quotePrefix="0" xfId="0">
      <alignment horizontal="left" vertical="center"/>
      <protection locked="0" hidden="0"/>
    </xf>
    <xf numFmtId="0" fontId="92" fillId="20" borderId="4" applyAlignment="1" applyProtection="1" pivotButton="0" quotePrefix="0" xfId="613">
      <alignment vertical="center"/>
      <protection locked="1" hidden="1"/>
    </xf>
    <xf numFmtId="0" fontId="121" fillId="0" borderId="0" applyAlignment="1" applyProtection="1" pivotButton="0" quotePrefix="0" xfId="636">
      <alignment horizontal="left" vertical="center"/>
      <protection locked="1" hidden="1"/>
    </xf>
    <xf numFmtId="0" fontId="64" fillId="0" borderId="21" applyAlignment="1" applyProtection="1" pivotButton="0" quotePrefix="0" xfId="636">
      <alignment horizontal="center" vertical="center" wrapText="1"/>
      <protection locked="1" hidden="1"/>
    </xf>
    <xf numFmtId="0" fontId="64" fillId="0" borderId="18" applyAlignment="1" applyProtection="1" pivotButton="0" quotePrefix="0" xfId="636">
      <alignment vertical="center"/>
      <protection locked="1" hidden="1"/>
    </xf>
    <xf numFmtId="0" fontId="92" fillId="0" borderId="21" applyAlignment="1" applyProtection="1" pivotButton="0" quotePrefix="0" xfId="0">
      <alignment horizontal="left" vertical="center"/>
      <protection locked="1" hidden="1"/>
    </xf>
    <xf numFmtId="0" fontId="92" fillId="0" borderId="21" applyAlignment="1" applyProtection="1" pivotButton="0" quotePrefix="0" xfId="636">
      <alignment vertical="center"/>
      <protection locked="1" hidden="1"/>
    </xf>
    <xf numFmtId="0" fontId="71" fillId="0" borderId="9" applyAlignment="1" applyProtection="1" pivotButton="0" quotePrefix="0" xfId="712">
      <alignment horizontal="center" vertical="center" wrapText="1"/>
      <protection locked="1" hidden="1"/>
    </xf>
    <xf numFmtId="0" fontId="119" fillId="0" borderId="4" applyAlignment="1" applyProtection="1" pivotButton="0" quotePrefix="0" xfId="0">
      <alignment horizontal="center" vertical="center"/>
      <protection locked="1" hidden="1"/>
    </xf>
    <xf numFmtId="0" fontId="119" fillId="0" borderId="4" applyAlignment="1" applyProtection="1" pivotButton="0" quotePrefix="0" xfId="0">
      <alignment horizontal="center" vertical="center" wrapText="1"/>
      <protection locked="1" hidden="1"/>
    </xf>
    <xf numFmtId="0" fontId="118" fillId="0" borderId="0" applyAlignment="1" applyProtection="1" pivotButton="0" quotePrefix="0" xfId="0">
      <alignment vertical="center"/>
      <protection locked="1" hidden="1"/>
    </xf>
    <xf numFmtId="0" fontId="83" fillId="0" borderId="0" applyAlignment="1" applyProtection="1" pivotButton="0" quotePrefix="0" xfId="0">
      <alignment vertical="center"/>
      <protection locked="1" hidden="1"/>
    </xf>
    <xf numFmtId="0" fontId="83" fillId="29" borderId="4" applyAlignment="1" applyProtection="1" pivotButton="0" quotePrefix="0" xfId="0">
      <alignment horizontal="center" vertical="center" wrapText="1"/>
      <protection locked="0" hidden="0"/>
    </xf>
    <xf numFmtId="0" fontId="83" fillId="0" borderId="0" applyAlignment="1" applyProtection="1" pivotButton="0" quotePrefix="0" xfId="0">
      <alignment vertical="center"/>
      <protection locked="0" hidden="0"/>
    </xf>
    <xf numFmtId="0" fontId="123" fillId="0" borderId="0" applyAlignment="1" applyProtection="1" pivotButton="0" quotePrefix="0" xfId="0">
      <alignment vertical="center"/>
      <protection locked="1" hidden="1"/>
    </xf>
    <xf numFmtId="3" fontId="66" fillId="29" borderId="4" applyAlignment="1" applyProtection="1" pivotButton="0" quotePrefix="0" xfId="0">
      <alignment horizontal="center" vertical="center"/>
      <protection locked="0" hidden="0"/>
    </xf>
    <xf numFmtId="3" fontId="70" fillId="29" borderId="4" applyAlignment="1" applyProtection="1" pivotButton="0" quotePrefix="0" xfId="0">
      <alignment horizontal="center" vertical="center" wrapText="1"/>
      <protection locked="0" hidden="0"/>
    </xf>
    <xf numFmtId="3" fontId="92" fillId="29" borderId="4" applyAlignment="1" applyProtection="1" pivotButton="0" quotePrefix="0" xfId="0">
      <alignment horizontal="center" vertical="center" wrapText="1"/>
      <protection locked="0" hidden="0"/>
    </xf>
    <xf numFmtId="0" fontId="67" fillId="0" borderId="0" applyAlignment="1" applyProtection="1" pivotButton="0" quotePrefix="0" xfId="0">
      <alignment horizontal="left" vertical="center" wrapText="1"/>
      <protection locked="1" hidden="1"/>
    </xf>
    <xf numFmtId="0" fontId="0" fillId="28" borderId="0" applyAlignment="1" applyProtection="1" pivotButton="0" quotePrefix="0" xfId="0">
      <alignment horizontal="left" vertical="center"/>
      <protection locked="1" hidden="1"/>
    </xf>
    <xf numFmtId="0" fontId="0" fillId="26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horizontal="left" vertical="center"/>
      <protection locked="1" hidden="1"/>
    </xf>
    <xf numFmtId="0" fontId="0" fillId="27" borderId="0" applyAlignment="1" applyProtection="1" pivotButton="0" quotePrefix="0" xfId="0">
      <alignment horizontal="left" vertical="center"/>
      <protection locked="1" hidden="1"/>
    </xf>
    <xf numFmtId="0" fontId="69" fillId="0" borderId="0" applyAlignment="1" applyProtection="1" pivotButton="0" quotePrefix="0" xfId="0">
      <alignment horizontal="left" vertical="center"/>
      <protection locked="0" hidden="0"/>
    </xf>
    <xf numFmtId="0" fontId="69" fillId="0" borderId="0" applyAlignment="1" pivotButton="0" quotePrefix="0" xfId="635">
      <alignment horizontal="center"/>
    </xf>
    <xf numFmtId="0" fontId="69" fillId="0" borderId="0" applyAlignment="1" pivotButton="0" quotePrefix="0" xfId="635">
      <alignment horizontal="left"/>
    </xf>
    <xf numFmtId="0" fontId="69" fillId="0" borderId="0" applyAlignment="1" pivotButton="0" quotePrefix="0" xfId="0">
      <alignment horizontal="left" vertical="center"/>
    </xf>
    <xf numFmtId="164" fontId="124" fillId="29" borderId="15" applyAlignment="1" applyProtection="1" pivotButton="0" quotePrefix="0" xfId="636">
      <alignment horizontal="center" vertical="center"/>
      <protection locked="0" hidden="0"/>
    </xf>
    <xf numFmtId="0" fontId="69" fillId="0" borderId="0" applyAlignment="1" applyProtection="1" pivotButton="0" quotePrefix="0" xfId="635">
      <alignment horizontal="left"/>
      <protection locked="0" hidden="0"/>
    </xf>
    <xf numFmtId="0" fontId="32" fillId="25" borderId="0" applyAlignment="1" pivotButton="0" quotePrefix="0" xfId="635">
      <alignment horizontal="center" vertical="center"/>
    </xf>
    <xf numFmtId="164" fontId="124" fillId="29" borderId="15" applyAlignment="1" applyProtection="1" pivotButton="0" quotePrefix="0" xfId="636">
      <alignment horizontal="left" vertical="center"/>
      <protection locked="0" hidden="0"/>
    </xf>
    <xf numFmtId="0" fontId="69" fillId="25" borderId="0" applyAlignment="1" pivotButton="0" quotePrefix="0" xfId="704">
      <alignment horizontal="left" vertical="top" wrapText="1"/>
    </xf>
    <xf numFmtId="0" fontId="69" fillId="25" borderId="0" applyAlignment="1" pivotButton="0" quotePrefix="0" xfId="0">
      <alignment horizontal="left"/>
    </xf>
    <xf numFmtId="0" fontId="69" fillId="25" borderId="0" applyAlignment="1" pivotButton="0" quotePrefix="0" xfId="635">
      <alignment horizontal="left"/>
    </xf>
    <xf numFmtId="0" fontId="69" fillId="25" borderId="0" applyAlignment="1" applyProtection="1" pivotButton="0" quotePrefix="0" xfId="0">
      <alignment horizontal="left" vertical="center"/>
      <protection locked="0" hidden="0"/>
    </xf>
    <xf numFmtId="0" fontId="32" fillId="25" borderId="0" applyAlignment="1" pivotButton="0" quotePrefix="0" xfId="635">
      <alignment horizontal="left" wrapText="1"/>
    </xf>
    <xf numFmtId="0" fontId="31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68" fillId="0" borderId="0" applyAlignment="1" applyProtection="1" pivotButton="0" quotePrefix="0" xfId="0">
      <alignment horizontal="center"/>
      <protection locked="0" hidden="0"/>
    </xf>
    <xf numFmtId="164" fontId="124" fillId="29" borderId="0" applyAlignment="1" applyProtection="1" pivotButton="0" quotePrefix="0" xfId="636">
      <alignment horizontal="left" vertical="center"/>
      <protection locked="0" hidden="0"/>
    </xf>
    <xf numFmtId="0" fontId="68" fillId="0" borderId="0" applyAlignment="1" applyProtection="1" pivotButton="0" quotePrefix="0" xfId="0">
      <alignment horizontal="right"/>
      <protection locked="0" hidden="0"/>
    </xf>
    <xf numFmtId="0" fontId="32" fillId="25" borderId="0" applyAlignment="1" pivotButton="0" quotePrefix="0" xfId="635">
      <alignment horizontal="left"/>
    </xf>
    <xf numFmtId="165" fontId="71" fillId="0" borderId="0" applyAlignment="1" applyProtection="1" pivotButton="0" quotePrefix="0" xfId="714">
      <alignment horizontal="center" vertical="center" wrapText="1"/>
      <protection locked="1" hidden="1"/>
    </xf>
    <xf numFmtId="0" fontId="71" fillId="0" borderId="4" applyAlignment="1" applyProtection="1" pivotButton="0" quotePrefix="0" xfId="628">
      <alignment horizontal="left" vertical="center" wrapText="1"/>
      <protection locked="1" hidden="1"/>
    </xf>
    <xf numFmtId="0" fontId="71" fillId="0" borderId="12" applyAlignment="1" applyProtection="1" pivotButton="0" quotePrefix="0" xfId="628">
      <alignment horizontal="center" vertical="center"/>
      <protection locked="1" hidden="1"/>
    </xf>
    <xf numFmtId="0" fontId="71" fillId="0" borderId="4" applyAlignment="1" applyProtection="1" pivotButton="0" quotePrefix="0" xfId="0">
      <alignment horizontal="center" vertical="center"/>
      <protection locked="1" hidden="1"/>
    </xf>
    <xf numFmtId="0" fontId="72" fillId="0" borderId="4" applyAlignment="1" applyProtection="1" pivotButton="0" quotePrefix="0" xfId="636">
      <alignment horizontal="left" vertical="center" wrapText="1"/>
      <protection locked="1" hidden="1"/>
    </xf>
    <xf numFmtId="0" fontId="72" fillId="0" borderId="4" applyAlignment="1" applyProtection="1" pivotButton="0" quotePrefix="0" xfId="636">
      <alignment horizontal="left" vertical="center"/>
      <protection locked="1" hidden="1"/>
    </xf>
    <xf numFmtId="0" fontId="73" fillId="0" borderId="19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center" vertical="top"/>
    </xf>
    <xf numFmtId="0" fontId="72" fillId="0" borderId="0" applyAlignment="1" applyProtection="1" pivotButton="0" quotePrefix="0" xfId="0">
      <alignment horizontal="center" vertical="center"/>
      <protection locked="0" hidden="0"/>
    </xf>
    <xf numFmtId="0" fontId="73" fillId="0" borderId="4" applyAlignment="1" pivotButton="0" quotePrefix="0" xfId="0">
      <alignment horizontal="center" vertical="center" wrapText="1"/>
    </xf>
    <xf numFmtId="0" fontId="73" fillId="0" borderId="17" applyAlignment="1" pivotButton="0" quotePrefix="0" xfId="0">
      <alignment horizontal="left" vertical="center" wrapText="1"/>
    </xf>
    <xf numFmtId="0" fontId="66" fillId="0" borderId="4" applyAlignment="1" applyProtection="1" pivotButton="0" quotePrefix="0" xfId="636">
      <alignment horizontal="left" vertical="center"/>
      <protection locked="1" hidden="1"/>
    </xf>
    <xf numFmtId="0" fontId="76" fillId="0" borderId="0" applyAlignment="1" pivotButton="0" quotePrefix="0" xfId="0">
      <alignment horizontal="left" vertical="center" wrapText="1"/>
    </xf>
    <xf numFmtId="0" fontId="66" fillId="0" borderId="4" applyAlignment="1" applyProtection="1" pivotButton="0" quotePrefix="0" xfId="636">
      <alignment horizontal="left" vertical="center" wrapText="1"/>
      <protection locked="1" hidden="1"/>
    </xf>
    <xf numFmtId="0" fontId="76" fillId="0" borderId="0" applyAlignment="1" pivotButton="0" quotePrefix="0" xfId="0">
      <alignment horizontal="center" vertical="top"/>
    </xf>
    <xf numFmtId="0" fontId="66" fillId="0" borderId="0" applyAlignment="1" applyProtection="1" pivotButton="0" quotePrefix="0" xfId="0">
      <alignment horizontal="center" vertical="center"/>
      <protection locked="0" hidden="0"/>
    </xf>
    <xf numFmtId="0" fontId="76" fillId="0" borderId="4" applyAlignment="1" pivotButton="0" quotePrefix="0" xfId="0">
      <alignment horizontal="center" vertical="center" wrapText="1"/>
    </xf>
    <xf numFmtId="0" fontId="71" fillId="0" borderId="0" applyAlignment="1" applyProtection="1" pivotButton="0" quotePrefix="0" xfId="0">
      <alignment horizontal="center" vertical="top" wrapText="1"/>
      <protection locked="1" hidden="1"/>
    </xf>
    <xf numFmtId="0" fontId="81" fillId="0" borderId="0" applyAlignment="1" applyProtection="1" pivotButton="0" quotePrefix="0" xfId="636">
      <alignment horizontal="left" vertical="center"/>
      <protection locked="1" hidden="1"/>
    </xf>
    <xf numFmtId="167" fontId="70" fillId="0" borderId="0" applyAlignment="1" applyProtection="1" pivotButton="0" quotePrefix="0" xfId="654">
      <alignment horizontal="left" vertical="center" wrapText="1"/>
      <protection locked="1" hidden="1"/>
    </xf>
    <xf numFmtId="167" fontId="71" fillId="0" borderId="9" applyAlignment="1" applyProtection="1" pivotButton="0" quotePrefix="0" xfId="0">
      <alignment horizontal="center" vertical="center"/>
      <protection locked="1" hidden="1"/>
    </xf>
    <xf numFmtId="167" fontId="71" fillId="0" borderId="20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horizontal="center" vertical="center"/>
      <protection locked="1" hidden="1"/>
    </xf>
    <xf numFmtId="0" fontId="84" fillId="25" borderId="0" applyAlignment="1" applyProtection="1" pivotButton="0" quotePrefix="0" xfId="0">
      <alignment horizontal="center" vertical="top" wrapText="1"/>
      <protection locked="1" hidden="1"/>
    </xf>
    <xf numFmtId="0" fontId="88" fillId="25" borderId="0" applyAlignment="1" applyProtection="1" pivotButton="0" quotePrefix="0" xfId="0">
      <alignment horizontal="left" vertical="center" wrapText="1"/>
      <protection locked="1" hidden="1"/>
    </xf>
    <xf numFmtId="0" fontId="75" fillId="0" borderId="4" applyAlignment="1" applyProtection="1" pivotButton="0" quotePrefix="0" xfId="0">
      <alignment horizontal="left" vertical="center" wrapText="1"/>
      <protection locked="1" hidden="1"/>
    </xf>
    <xf numFmtId="0" fontId="80" fillId="0" borderId="4" applyAlignment="1" applyProtection="1" pivotButton="0" quotePrefix="0" xfId="0">
      <alignment horizontal="left" vertical="center" wrapText="1"/>
      <protection locked="1" hidden="1"/>
    </xf>
    <xf numFmtId="0" fontId="75" fillId="0" borderId="4" applyAlignment="1" pivotButton="0" quotePrefix="0" xfId="0">
      <alignment horizontal="left" vertical="center"/>
    </xf>
    <xf numFmtId="0" fontId="80" fillId="0" borderId="12" applyAlignment="1" applyProtection="1" pivotButton="0" quotePrefix="0" xfId="0">
      <alignment horizontal="left" vertical="center"/>
      <protection locked="1" hidden="1"/>
    </xf>
    <xf numFmtId="0" fontId="80" fillId="0" borderId="4" applyAlignment="1" pivotButton="0" quotePrefix="0" xfId="0">
      <alignment horizontal="center" vertical="center"/>
    </xf>
    <xf numFmtId="0" fontId="80" fillId="0" borderId="8" applyAlignment="1" applyProtection="1" pivotButton="0" quotePrefix="0" xfId="0">
      <alignment horizontal="left" vertical="center"/>
      <protection locked="1" hidden="1"/>
    </xf>
    <xf numFmtId="0" fontId="66" fillId="0" borderId="4" applyAlignment="1" applyProtection="1" pivotButton="0" quotePrefix="0" xfId="0">
      <alignment horizontal="left" vertical="center" wrapText="1"/>
      <protection locked="1" hidden="1"/>
    </xf>
    <xf numFmtId="0" fontId="66" fillId="0" borderId="12" applyAlignment="1" applyProtection="1" pivotButton="0" quotePrefix="0" xfId="0">
      <alignment horizontal="left" vertical="center"/>
      <protection locked="1" hidden="1"/>
    </xf>
    <xf numFmtId="0" fontId="76" fillId="0" borderId="4" applyAlignment="1" applyProtection="1" pivotButton="0" quotePrefix="0" xfId="0">
      <alignment horizontal="left" vertical="center" wrapText="1"/>
      <protection locked="1" hidden="1"/>
    </xf>
    <xf numFmtId="0" fontId="76" fillId="0" borderId="9" applyAlignment="1" applyProtection="1" pivotButton="0" quotePrefix="0" xfId="0">
      <alignment horizontal="center" vertical="center" wrapText="1"/>
      <protection locked="1" hidden="1"/>
    </xf>
    <xf numFmtId="0" fontId="76" fillId="0" borderId="0" applyAlignment="1" applyProtection="1" pivotButton="0" quotePrefix="0" xfId="0">
      <alignment horizontal="center" vertical="center"/>
      <protection locked="1" hidden="1"/>
    </xf>
    <xf numFmtId="0" fontId="80" fillId="0" borderId="9" applyAlignment="1" applyProtection="1" pivotButton="0" quotePrefix="0" xfId="0">
      <alignment horizontal="center" vertical="center" wrapText="1"/>
      <protection locked="1" hidden="1"/>
    </xf>
    <xf numFmtId="0" fontId="76" fillId="0" borderId="23" applyAlignment="1" applyProtection="1" pivotButton="0" quotePrefix="0" xfId="0">
      <alignment horizontal="center" vertical="center" wrapText="1"/>
      <protection locked="1" hidden="1"/>
    </xf>
    <xf numFmtId="0" fontId="90" fillId="0" borderId="4" applyAlignment="1" applyProtection="1" pivotButton="0" quotePrefix="0" xfId="0">
      <alignment horizontal="left" vertical="center" wrapText="1"/>
      <protection locked="1" hidden="1"/>
    </xf>
    <xf numFmtId="0" fontId="90" fillId="0" borderId="12" applyAlignment="1" applyProtection="1" pivotButton="0" quotePrefix="0" xfId="0">
      <alignment horizontal="left" vertical="center"/>
      <protection locked="1" hidden="1"/>
    </xf>
    <xf numFmtId="0" fontId="91" fillId="0" borderId="4" applyAlignment="1" applyProtection="1" pivotButton="0" quotePrefix="0" xfId="0">
      <alignment horizontal="left" vertical="center" wrapText="1"/>
      <protection locked="1" hidden="1"/>
    </xf>
    <xf numFmtId="0" fontId="91" fillId="0" borderId="4" applyAlignment="1" applyProtection="1" pivotButton="0" quotePrefix="0" xfId="0">
      <alignment horizontal="center" vertical="center" wrapText="1"/>
      <protection locked="1" hidden="1"/>
    </xf>
    <xf numFmtId="0" fontId="91" fillId="0" borderId="20" applyAlignment="1" applyProtection="1" pivotButton="0" quotePrefix="0" xfId="0">
      <alignment horizontal="center" vertical="center" wrapText="1"/>
      <protection locked="1" hidden="1"/>
    </xf>
    <xf numFmtId="0" fontId="91" fillId="0" borderId="12" applyAlignment="1" applyProtection="1" pivotButton="0" quotePrefix="0" xfId="0">
      <alignment horizontal="left" vertical="center" wrapText="1"/>
      <protection locked="1" hidden="1"/>
    </xf>
    <xf numFmtId="0" fontId="90" fillId="0" borderId="14" applyAlignment="1" applyProtection="1" pivotButton="0" quotePrefix="0" xfId="0">
      <alignment horizontal="left" vertical="center" wrapText="1"/>
      <protection locked="1" hidden="1"/>
    </xf>
    <xf numFmtId="0" fontId="91" fillId="0" borderId="0" applyAlignment="1" applyProtection="1" pivotButton="0" quotePrefix="0" xfId="0">
      <alignment horizontal="center" vertical="top"/>
      <protection locked="1" hidden="1"/>
    </xf>
    <xf numFmtId="0" fontId="91" fillId="0" borderId="9" applyAlignment="1" applyProtection="1" pivotButton="0" quotePrefix="0" xfId="0">
      <alignment horizontal="center" vertical="center" wrapText="1"/>
      <protection locked="1" hidden="1"/>
    </xf>
    <xf numFmtId="0" fontId="91" fillId="0" borderId="4" applyAlignment="1" applyProtection="1" pivotButton="0" quotePrefix="0" xfId="0">
      <alignment horizontal="center" vertical="center"/>
      <protection locked="1" hidden="1"/>
    </xf>
    <xf numFmtId="0" fontId="71" fillId="0" borderId="4" applyAlignment="1" applyProtection="1" pivotButton="0" quotePrefix="0" xfId="0">
      <alignment horizontal="center" vertical="center" wrapText="1"/>
      <protection locked="1" hidden="1"/>
    </xf>
    <xf numFmtId="0" fontId="64" fillId="0" borderId="0" applyAlignment="1" applyProtection="1" pivotButton="0" quotePrefix="0" xfId="0">
      <alignment horizontal="center" vertical="top" wrapText="1"/>
      <protection locked="1" hidden="1"/>
    </xf>
    <xf numFmtId="0" fontId="71" fillId="25" borderId="4" applyAlignment="1" applyProtection="1" pivotButton="0" quotePrefix="0" xfId="0">
      <alignment horizontal="center" vertical="center"/>
      <protection locked="1" hidden="1"/>
    </xf>
    <xf numFmtId="0" fontId="70" fillId="0" borderId="23" applyAlignment="1" applyProtection="1" pivotButton="0" quotePrefix="0" xfId="0">
      <alignment horizontal="center" vertical="center"/>
      <protection locked="1" hidden="1"/>
    </xf>
    <xf numFmtId="0" fontId="92" fillId="0" borderId="0" applyAlignment="1" applyProtection="1" pivotButton="0" quotePrefix="0" xfId="0">
      <alignment horizontal="left" vertical="center"/>
      <protection locked="1" hidden="1"/>
    </xf>
    <xf numFmtId="0" fontId="71" fillId="0" borderId="12" applyAlignment="1" applyProtection="1" pivotButton="0" quotePrefix="0" xfId="0">
      <alignment horizontal="center" vertical="center" wrapText="1"/>
      <protection locked="1" hidden="1"/>
    </xf>
    <xf numFmtId="11" fontId="71" fillId="0" borderId="12" applyAlignment="1" applyProtection="1" pivotButton="0" quotePrefix="0" xfId="636">
      <alignment horizontal="left" vertical="center" wrapText="1"/>
      <protection locked="1" hidden="1"/>
    </xf>
    <xf numFmtId="0" fontId="70" fillId="0" borderId="9" applyAlignment="1" applyProtection="1" pivotButton="0" quotePrefix="0" xfId="0">
      <alignment horizontal="center" vertical="center"/>
      <protection locked="1" hidden="1"/>
    </xf>
    <xf numFmtId="0" fontId="71" fillId="0" borderId="12" applyAlignment="1" applyProtection="1" pivotButton="0" quotePrefix="0" xfId="636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center" vertical="center"/>
      <protection locked="1" hidden="1"/>
    </xf>
    <xf numFmtId="0" fontId="98" fillId="0" borderId="23" applyAlignment="1" applyProtection="1" pivotButton="0" quotePrefix="0" xfId="0">
      <alignment horizontal="center" vertical="center"/>
      <protection locked="1" hidden="1"/>
    </xf>
    <xf numFmtId="0" fontId="94" fillId="0" borderId="0" applyAlignment="1" applyProtection="1" pivotButton="0" quotePrefix="0" xfId="0">
      <alignment horizontal="left" vertical="center"/>
      <protection locked="1" hidden="1"/>
    </xf>
    <xf numFmtId="0" fontId="95" fillId="0" borderId="0" applyAlignment="1" applyProtection="1" pivotButton="0" quotePrefix="0" xfId="0">
      <alignment horizontal="center" vertical="top" wrapText="1"/>
      <protection locked="1" hidden="1"/>
    </xf>
    <xf numFmtId="0" fontId="96" fillId="0" borderId="4" applyAlignment="1" applyProtection="1" pivotButton="0" quotePrefix="0" xfId="0">
      <alignment horizontal="center" vertical="center" wrapText="1"/>
      <protection locked="1" hidden="1"/>
    </xf>
    <xf numFmtId="0" fontId="70" fillId="0" borderId="4" applyAlignment="1" applyProtection="1" pivotButton="0" quotePrefix="0" xfId="636">
      <alignment horizontal="left"/>
      <protection locked="1" hidden="1"/>
    </xf>
    <xf numFmtId="0" fontId="71" fillId="0" borderId="4" applyAlignment="1" applyProtection="1" pivotButton="0" quotePrefix="0" xfId="636">
      <alignment horizontal="left"/>
      <protection locked="1" hidden="1"/>
    </xf>
    <xf numFmtId="0" fontId="70" fillId="0" borderId="0" applyAlignment="1" applyProtection="1" pivotButton="0" quotePrefix="0" xfId="0">
      <alignment horizontal="left" vertical="center"/>
      <protection locked="1" hidden="1"/>
    </xf>
    <xf numFmtId="0" fontId="81" fillId="0" borderId="0" applyAlignment="1" applyProtection="1" pivotButton="0" quotePrefix="0" xfId="636">
      <alignment horizontal="left"/>
      <protection locked="1" hidden="1"/>
    </xf>
    <xf numFmtId="0" fontId="70" fillId="0" borderId="15" applyAlignment="1" applyProtection="1" pivotButton="0" quotePrefix="0" xfId="0">
      <alignment horizontal="left" vertical="center"/>
      <protection locked="1" hidden="1"/>
    </xf>
    <xf numFmtId="0" fontId="71" fillId="0" borderId="9" applyAlignment="1" applyProtection="1" pivotButton="0" quotePrefix="0" xfId="636">
      <alignment horizontal="center" vertical="center"/>
      <protection locked="1" hidden="1"/>
    </xf>
    <xf numFmtId="11" fontId="71" fillId="0" borderId="12" applyAlignment="1" applyProtection="1" pivotButton="0" quotePrefix="0" xfId="636">
      <alignment horizontal="left" wrapText="1"/>
      <protection locked="1" hidden="1"/>
    </xf>
    <xf numFmtId="0" fontId="71" fillId="0" borderId="4" applyAlignment="1" applyProtection="1" pivotButton="0" quotePrefix="0" xfId="636">
      <alignment horizontal="center"/>
      <protection locked="1" hidden="1"/>
    </xf>
    <xf numFmtId="0" fontId="70" fillId="0" borderId="4" applyAlignment="1" applyProtection="1" pivotButton="0" quotePrefix="0" xfId="636">
      <alignment horizontal="left" vertical="center"/>
      <protection locked="1" hidden="1"/>
    </xf>
    <xf numFmtId="11" fontId="71" fillId="0" borderId="9" applyAlignment="1" applyProtection="1" pivotButton="0" quotePrefix="0" xfId="636">
      <alignment horizontal="left" vertical="center" wrapText="1"/>
      <protection locked="1" hidden="1"/>
    </xf>
    <xf numFmtId="0" fontId="76" fillId="0" borderId="0" applyAlignment="1" applyProtection="1" pivotButton="0" quotePrefix="0" xfId="0">
      <alignment horizontal="center" vertical="top" wrapText="1"/>
      <protection locked="1" hidden="1"/>
    </xf>
    <xf numFmtId="0" fontId="80" fillId="0" borderId="4" applyAlignment="1" applyProtection="1" pivotButton="0" quotePrefix="0" xfId="636">
      <alignment horizontal="center" vertical="center" wrapText="1"/>
      <protection locked="1" hidden="1"/>
    </xf>
    <xf numFmtId="0" fontId="70" fillId="20" borderId="4" applyAlignment="1" applyProtection="1" pivotButton="0" quotePrefix="0" xfId="613">
      <alignment horizontal="center" vertical="center"/>
      <protection locked="1" hidden="1"/>
    </xf>
    <xf numFmtId="0" fontId="92" fillId="0" borderId="4" applyAlignment="1" applyProtection="1" pivotButton="0" quotePrefix="0" xfId="0">
      <alignment horizontal="center" vertical="center"/>
      <protection locked="1" hidden="1"/>
    </xf>
    <xf numFmtId="0" fontId="64" fillId="25" borderId="4" applyAlignment="1" applyProtection="1" pivotButton="0" quotePrefix="0" xfId="711">
      <alignment horizontal="center" vertical="center" wrapText="1"/>
      <protection locked="1" hidden="1"/>
    </xf>
    <xf numFmtId="11" fontId="92" fillId="0" borderId="4" applyAlignment="1" applyProtection="1" pivotButton="0" quotePrefix="0" xfId="636">
      <alignment horizontal="left" vertical="center" wrapText="1"/>
      <protection locked="1" hidden="1"/>
    </xf>
    <xf numFmtId="0" fontId="64" fillId="0" borderId="4" applyAlignment="1" applyProtection="1" pivotButton="0" quotePrefix="0" xfId="613">
      <alignment horizontal="left" vertical="center"/>
      <protection locked="1" hidden="1"/>
    </xf>
    <xf numFmtId="0" fontId="64" fillId="0" borderId="4" applyAlignment="1" applyProtection="1" pivotButton="0" quotePrefix="0" xfId="636">
      <alignment horizontal="center" vertical="center" wrapText="1"/>
      <protection locked="1" hidden="1"/>
    </xf>
    <xf numFmtId="166" fontId="92" fillId="0" borderId="4" applyAlignment="1" applyProtection="1" pivotButton="0" quotePrefix="0" xfId="636">
      <alignment horizontal="left" vertical="center" wrapText="1"/>
      <protection locked="1" hidden="1"/>
    </xf>
    <xf numFmtId="0" fontId="71" fillId="25" borderId="4" applyAlignment="1" applyProtection="1" pivotButton="0" quotePrefix="0" xfId="0">
      <alignment horizontal="center" vertical="center" wrapText="1"/>
      <protection locked="1" hidden="1"/>
    </xf>
    <xf numFmtId="0" fontId="64" fillId="25" borderId="4" applyAlignment="1" applyProtection="1" pivotButton="0" quotePrefix="0" xfId="710">
      <alignment horizontal="center" vertical="center" wrapText="1"/>
      <protection locked="1" hidden="1"/>
    </xf>
    <xf numFmtId="0" fontId="107" fillId="0" borderId="9" applyAlignment="1" applyProtection="1" pivotButton="0" quotePrefix="0" xfId="0">
      <alignment horizontal="center" vertical="center"/>
      <protection locked="1" hidden="1"/>
    </xf>
    <xf numFmtId="0" fontId="107" fillId="0" borderId="12" applyAlignment="1" applyProtection="1" pivotButton="0" quotePrefix="0" xfId="0">
      <alignment vertical="center"/>
      <protection locked="1" hidden="1"/>
    </xf>
    <xf numFmtId="0" fontId="107" fillId="0" borderId="4" applyAlignment="1" applyProtection="1" pivotButton="0" quotePrefix="0" xfId="0">
      <alignment horizontal="left" vertical="center"/>
      <protection locked="1" hidden="1"/>
    </xf>
    <xf numFmtId="0" fontId="105" fillId="25" borderId="4" applyAlignment="1" applyProtection="1" pivotButton="0" quotePrefix="0" xfId="0">
      <alignment horizontal="center" vertical="center" wrapText="1"/>
      <protection locked="1" hidden="1"/>
    </xf>
    <xf numFmtId="0" fontId="103" fillId="0" borderId="4" applyAlignment="1" applyProtection="1" pivotButton="0" quotePrefix="0" xfId="636">
      <alignment horizontal="center" vertical="center" wrapText="1"/>
      <protection locked="1" hidden="1"/>
    </xf>
    <xf numFmtId="0" fontId="103" fillId="25" borderId="21" applyAlignment="1" applyProtection="1" pivotButton="0" quotePrefix="0" xfId="711">
      <alignment horizontal="center" vertical="center" wrapText="1"/>
      <protection locked="1" hidden="1"/>
    </xf>
    <xf numFmtId="0" fontId="103" fillId="0" borderId="0" applyAlignment="1" applyProtection="1" pivotButton="0" quotePrefix="0" xfId="0">
      <alignment horizontal="center" vertical="top" wrapText="1"/>
      <protection locked="1" hidden="1"/>
    </xf>
    <xf numFmtId="0" fontId="105" fillId="0" borderId="4" applyAlignment="1" applyProtection="1" pivotButton="0" quotePrefix="0" xfId="0">
      <alignment horizontal="center" vertical="center" wrapText="1"/>
      <protection locked="1" hidden="1"/>
    </xf>
    <xf numFmtId="0" fontId="103" fillId="0" borderId="4" applyAlignment="1" applyProtection="1" pivotButton="0" quotePrefix="0" xfId="636">
      <alignment horizontal="center" vertical="center"/>
      <protection locked="1" hidden="1"/>
    </xf>
    <xf numFmtId="0" fontId="103" fillId="0" borderId="4" applyAlignment="1" applyProtection="1" pivotButton="0" quotePrefix="0" xfId="0">
      <alignment horizontal="center" vertical="center"/>
      <protection locked="1" hidden="1"/>
    </xf>
    <xf numFmtId="0" fontId="96" fillId="0" borderId="4" applyAlignment="1" applyProtection="1" pivotButton="0" quotePrefix="0" xfId="710">
      <alignment horizontal="left" vertical="center" wrapText="1"/>
      <protection locked="1" hidden="1"/>
    </xf>
    <xf numFmtId="0" fontId="96" fillId="0" borderId="4" applyAlignment="1" applyProtection="1" pivotButton="0" quotePrefix="0" xfId="710">
      <alignment horizontal="center" vertical="center" wrapText="1"/>
      <protection locked="1" hidden="1"/>
    </xf>
    <xf numFmtId="0" fontId="96" fillId="25" borderId="4" applyAlignment="1" applyProtection="1" pivotButton="0" quotePrefix="0" xfId="0">
      <alignment horizontal="center" vertical="center" wrapText="1"/>
      <protection locked="1" hidden="1"/>
    </xf>
    <xf numFmtId="0" fontId="96" fillId="25" borderId="4" applyAlignment="1" applyProtection="1" pivotButton="0" quotePrefix="0" xfId="710">
      <alignment horizontal="center" vertical="center" wrapText="1"/>
      <protection locked="1" hidden="1"/>
    </xf>
    <xf numFmtId="0" fontId="99" fillId="25" borderId="4" applyAlignment="1" applyProtection="1" pivotButton="0" quotePrefix="0" xfId="710">
      <alignment horizontal="center" vertical="center"/>
      <protection locked="1" hidden="1"/>
    </xf>
    <xf numFmtId="0" fontId="99" fillId="25" borderId="9" applyAlignment="1" applyProtection="1" pivotButton="0" quotePrefix="0" xfId="710">
      <alignment horizontal="center" vertical="center" wrapText="1"/>
      <protection locked="1" hidden="1"/>
    </xf>
    <xf numFmtId="0" fontId="88" fillId="0" borderId="18" applyAlignment="1" applyProtection="1" pivotButton="0" quotePrefix="0" xfId="0">
      <alignment horizontal="center" vertical="center"/>
      <protection locked="1" hidden="1"/>
    </xf>
    <xf numFmtId="0" fontId="110" fillId="0" borderId="0" applyAlignment="1" applyProtection="1" pivotButton="0" quotePrefix="0" xfId="636">
      <alignment horizontal="left" vertical="center"/>
      <protection locked="1" hidden="1"/>
    </xf>
    <xf numFmtId="0" fontId="88" fillId="0" borderId="16" applyAlignment="1" applyProtection="1" pivotButton="0" quotePrefix="0" xfId="0">
      <alignment horizontal="center" vertical="center"/>
      <protection locked="1" hidden="1"/>
    </xf>
    <xf numFmtId="0" fontId="85" fillId="0" borderId="4" applyAlignment="1" applyProtection="1" pivotButton="0" quotePrefix="0" xfId="0">
      <alignment horizontal="center" vertical="center" wrapText="1"/>
      <protection locked="1" hidden="1"/>
    </xf>
    <xf numFmtId="0" fontId="85" fillId="0" borderId="4" applyAlignment="1" applyProtection="1" pivotButton="0" quotePrefix="0" xfId="636">
      <alignment horizontal="center" vertical="center" wrapText="1"/>
      <protection locked="1" hidden="1"/>
    </xf>
    <xf numFmtId="0" fontId="85" fillId="0" borderId="21" applyAlignment="1" applyProtection="1" pivotButton="0" quotePrefix="0" xfId="636">
      <alignment horizontal="center" vertical="center" wrapText="1"/>
      <protection locked="1" hidden="1"/>
    </xf>
    <xf numFmtId="0" fontId="88" fillId="25" borderId="12" applyAlignment="1" applyProtection="1" pivotButton="0" quotePrefix="0" xfId="0">
      <alignment horizontal="center" vertical="center" wrapText="1"/>
      <protection locked="1" hidden="1"/>
    </xf>
    <xf numFmtId="0" fontId="88" fillId="0" borderId="21" applyAlignment="1" applyProtection="1" pivotButton="0" quotePrefix="0" xfId="0">
      <alignment horizontal="center" vertical="center"/>
      <protection locked="1" hidden="1"/>
    </xf>
    <xf numFmtId="0" fontId="88" fillId="0" borderId="20" applyAlignment="1" applyProtection="1" pivotButton="0" quotePrefix="0" xfId="0">
      <alignment horizontal="center" vertical="center"/>
      <protection locked="1" hidden="1"/>
    </xf>
    <xf numFmtId="0" fontId="85" fillId="0" borderId="12" applyAlignment="1" applyProtection="1" pivotButton="0" quotePrefix="0" xfId="0">
      <alignment horizontal="center" vertical="center" wrapText="1"/>
      <protection locked="1" hidden="1"/>
    </xf>
    <xf numFmtId="0" fontId="85" fillId="0" borderId="9" applyAlignment="1" applyProtection="1" pivotButton="0" quotePrefix="0" xfId="0">
      <alignment horizontal="center" vertical="center" wrapText="1"/>
      <protection locked="1" hidden="1"/>
    </xf>
    <xf numFmtId="0" fontId="88" fillId="0" borderId="9" applyAlignment="1" applyProtection="1" pivotButton="0" quotePrefix="0" xfId="0">
      <alignment horizontal="center" vertical="center"/>
      <protection locked="1" hidden="1"/>
    </xf>
    <xf numFmtId="0" fontId="84" fillId="0" borderId="0" applyAlignment="1" applyProtection="1" pivotButton="0" quotePrefix="0" xfId="0">
      <alignment horizontal="center" vertical="top" wrapText="1"/>
      <protection locked="1" hidden="1"/>
    </xf>
    <xf numFmtId="0" fontId="70" fillId="25" borderId="0" applyAlignment="1" applyProtection="1" pivotButton="0" quotePrefix="0" xfId="0">
      <alignment horizontal="center" vertical="center" wrapText="1"/>
      <protection locked="1" hidden="1"/>
    </xf>
    <xf numFmtId="0" fontId="81" fillId="0" borderId="0" applyAlignment="1" applyProtection="1" pivotButton="0" quotePrefix="0" xfId="636">
      <alignment horizontal="left" vertical="center" wrapText="1"/>
      <protection locked="1" hidden="1"/>
    </xf>
    <xf numFmtId="0" fontId="71" fillId="0" borderId="21" applyAlignment="1" applyProtection="1" pivotButton="0" quotePrefix="0" xfId="0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center" vertical="center" wrapText="1"/>
      <protection locked="1" hidden="1"/>
    </xf>
    <xf numFmtId="0" fontId="70" fillId="25" borderId="20" applyAlignment="1" applyProtection="1" pivotButton="0" quotePrefix="0" xfId="0">
      <alignment horizontal="center" vertical="center" wrapText="1"/>
      <protection locked="1" hidden="1"/>
    </xf>
    <xf numFmtId="0" fontId="71" fillId="0" borderId="21" applyAlignment="1" applyProtection="1" pivotButton="0" quotePrefix="0" xfId="636">
      <alignment horizontal="center" vertical="center" wrapText="1"/>
      <protection locked="1" hidden="1"/>
    </xf>
    <xf numFmtId="0" fontId="70" fillId="0" borderId="12" applyAlignment="1" applyProtection="1" pivotButton="0" quotePrefix="0" xfId="0">
      <alignment horizontal="center" vertical="center" wrapText="1"/>
      <protection locked="1" hidden="1"/>
    </xf>
    <xf numFmtId="0" fontId="70" fillId="25" borderId="16" applyAlignment="1" applyProtection="1" pivotButton="0" quotePrefix="0" xfId="0">
      <alignment horizontal="center" vertical="center" wrapText="1"/>
      <protection locked="1" hidden="1"/>
    </xf>
    <xf numFmtId="0" fontId="70" fillId="25" borderId="23" applyAlignment="1" applyProtection="1" pivotButton="0" quotePrefix="0" xfId="0">
      <alignment horizontal="center" vertical="center" wrapText="1"/>
      <protection locked="1" hidden="1"/>
    </xf>
    <xf numFmtId="0" fontId="71" fillId="0" borderId="9" applyAlignment="1" applyProtection="1" pivotButton="0" quotePrefix="0" xfId="0">
      <alignment horizontal="center" vertical="center" wrapText="1"/>
      <protection locked="1" hidden="1"/>
    </xf>
    <xf numFmtId="0" fontId="70" fillId="0" borderId="0" applyAlignment="1" pivotButton="0" quotePrefix="0" xfId="0">
      <alignment horizontal="left" vertical="center"/>
    </xf>
    <xf numFmtId="0" fontId="71" fillId="0" borderId="4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/>
    </xf>
    <xf numFmtId="0" fontId="71" fillId="0" borderId="21" applyAlignment="1" pivotButton="0" quotePrefix="0" xfId="0">
      <alignment horizontal="center" vertical="center" wrapText="1"/>
    </xf>
    <xf numFmtId="0" fontId="71" fillId="25" borderId="0" applyAlignment="1" applyProtection="1" pivotButton="0" quotePrefix="0" xfId="0">
      <alignment horizontal="left" vertical="center" wrapText="1"/>
      <protection locked="1" hidden="1"/>
    </xf>
    <xf numFmtId="0" fontId="71" fillId="25" borderId="15" applyAlignment="1" applyProtection="1" pivotButton="0" quotePrefix="0" xfId="0">
      <alignment horizontal="left" vertical="center" wrapText="1"/>
      <protection locked="1" hidden="1"/>
    </xf>
    <xf numFmtId="0" fontId="64" fillId="0" borderId="0" applyAlignment="1" pivotButton="0" quotePrefix="0" xfId="0">
      <alignment horizontal="center" vertical="top" wrapText="1"/>
    </xf>
    <xf numFmtId="0" fontId="105" fillId="0" borderId="4" applyAlignment="1" applyProtection="1" pivotButton="0" quotePrefix="0" xfId="0">
      <alignment horizontal="center" vertical="center"/>
      <protection locked="0" hidden="0"/>
    </xf>
    <xf numFmtId="0" fontId="105" fillId="0" borderId="4" applyAlignment="1" applyProtection="1" pivotButton="0" quotePrefix="0" xfId="704">
      <alignment horizontal="center" vertical="center"/>
      <protection locked="1" hidden="1"/>
    </xf>
    <xf numFmtId="0" fontId="106" fillId="0" borderId="0" applyAlignment="1" applyProtection="1" pivotButton="0" quotePrefix="0" xfId="0">
      <alignment horizontal="left" vertical="center"/>
      <protection locked="0" hidden="0"/>
    </xf>
    <xf numFmtId="0" fontId="105" fillId="0" borderId="4" applyAlignment="1" applyProtection="1" pivotButton="0" quotePrefix="0" xfId="704">
      <alignment horizontal="center" vertical="center" wrapText="1"/>
      <protection locked="1" hidden="1"/>
    </xf>
    <xf numFmtId="0" fontId="105" fillId="25" borderId="4" applyAlignment="1" applyProtection="1" pivotButton="0" quotePrefix="0" xfId="704">
      <alignment horizontal="center" vertical="center" wrapText="1"/>
      <protection locked="1" hidden="1"/>
    </xf>
    <xf numFmtId="0" fontId="105" fillId="0" borderId="24" applyAlignment="1" applyProtection="1" pivotButton="0" quotePrefix="0" xfId="704">
      <alignment horizontal="center" vertical="center" wrapText="1"/>
      <protection locked="1" hidden="1"/>
    </xf>
    <xf numFmtId="0" fontId="113" fillId="0" borderId="4" applyAlignment="1" applyProtection="1" pivotButton="0" quotePrefix="0" xfId="704">
      <alignment horizontal="center" vertical="center" wrapText="1"/>
      <protection locked="1" hidden="1"/>
    </xf>
    <xf numFmtId="0" fontId="105" fillId="0" borderId="21" applyAlignment="1" applyProtection="1" pivotButton="0" quotePrefix="0" xfId="704">
      <alignment horizontal="center" vertical="center" wrapText="1"/>
      <protection locked="1" hidden="1"/>
    </xf>
    <xf numFmtId="49" fontId="106" fillId="0" borderId="4" applyAlignment="1" applyProtection="1" pivotButton="0" quotePrefix="0" xfId="704">
      <alignment horizontal="center" vertical="center"/>
      <protection locked="0" hidden="0"/>
    </xf>
    <xf numFmtId="0" fontId="105" fillId="0" borderId="4" applyAlignment="1" pivotButton="0" quotePrefix="0" xfId="0">
      <alignment horizontal="center" vertical="center"/>
    </xf>
    <xf numFmtId="0" fontId="105" fillId="0" borderId="19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 vertical="top" wrapText="1"/>
    </xf>
    <xf numFmtId="0" fontId="105" fillId="0" borderId="4" applyAlignment="1" pivotButton="0" quotePrefix="0" xfId="0">
      <alignment horizontal="center" vertical="center" wrapText="1"/>
    </xf>
    <xf numFmtId="167" fontId="103" fillId="25" borderId="4" applyAlignment="1" applyProtection="1" pivotButton="0" quotePrefix="0" xfId="707">
      <alignment horizontal="center" vertical="center" wrapText="1"/>
      <protection locked="1" hidden="1"/>
    </xf>
    <xf numFmtId="167" fontId="103" fillId="0" borderId="4" applyAlignment="1" applyProtection="1" pivotButton="0" quotePrefix="0" xfId="707">
      <alignment horizontal="center" vertical="center" wrapText="1"/>
      <protection locked="1" hidden="1"/>
    </xf>
    <xf numFmtId="167" fontId="105" fillId="25" borderId="9" applyAlignment="1" applyProtection="1" pivotButton="0" quotePrefix="0" xfId="707">
      <alignment horizontal="center" vertical="center" wrapText="1"/>
      <protection locked="1" hidden="1"/>
    </xf>
    <xf numFmtId="0" fontId="118" fillId="0" borderId="4" applyAlignment="1" applyProtection="1" pivotButton="0" quotePrefix="0" xfId="0">
      <alignment horizontal="center" vertical="center" wrapText="1"/>
      <protection locked="1" hidden="1"/>
    </xf>
    <xf numFmtId="0" fontId="71" fillId="25" borderId="4" applyAlignment="1" applyProtection="1" pivotButton="0" quotePrefix="0" xfId="0">
      <alignment horizontal="left" vertical="center" wrapText="1"/>
      <protection locked="1" hidden="1"/>
    </xf>
    <xf numFmtId="0" fontId="70" fillId="0" borderId="9" applyAlignment="1" applyProtection="1" pivotButton="0" quotePrefix="0" xfId="712">
      <alignment horizontal="center" vertical="center"/>
      <protection locked="1" hidden="1"/>
    </xf>
    <xf numFmtId="0" fontId="71" fillId="0" borderId="8" applyAlignment="1" applyProtection="1" pivotButton="0" quotePrefix="0" xfId="712">
      <alignment horizontal="left" vertical="center"/>
      <protection locked="1" hidden="1"/>
    </xf>
    <xf numFmtId="0" fontId="70" fillId="0" borderId="23" applyAlignment="1" applyProtection="1" pivotButton="0" quotePrefix="0" xfId="712">
      <alignment horizontal="center" vertical="center"/>
      <protection locked="1" hidden="1"/>
    </xf>
    <xf numFmtId="0" fontId="71" fillId="0" borderId="4" applyAlignment="1" applyProtection="1" pivotButton="0" quotePrefix="0" xfId="712">
      <alignment horizontal="center" vertical="center" wrapText="1"/>
      <protection locked="1" hidden="1"/>
    </xf>
    <xf numFmtId="0" fontId="70" fillId="0" borderId="4" applyAlignment="1" applyProtection="1" pivotButton="0" quotePrefix="0" xfId="0">
      <alignment horizontal="left" vertical="center"/>
      <protection locked="1" hidden="1"/>
    </xf>
    <xf numFmtId="0" fontId="71" fillId="20" borderId="4" applyAlignment="1" applyProtection="1" pivotButton="0" quotePrefix="0" xfId="613">
      <alignment horizontal="center" vertical="center"/>
      <protection locked="0" hidden="0"/>
    </xf>
    <xf numFmtId="0" fontId="71" fillId="0" borderId="4" applyAlignment="1" applyProtection="1" pivotButton="0" quotePrefix="0" xfId="636">
      <alignment horizontal="left" vertical="center" wrapText="1"/>
      <protection locked="1" hidden="1"/>
    </xf>
    <xf numFmtId="0" fontId="70" fillId="29" borderId="4" applyAlignment="1" applyProtection="1" pivotButton="0" quotePrefix="0" xfId="0">
      <alignment horizontal="left" vertical="center" wrapText="1"/>
      <protection locked="0" hidden="0"/>
    </xf>
    <xf numFmtId="0" fontId="70" fillId="20" borderId="4" applyAlignment="1" applyProtection="1" pivotButton="0" quotePrefix="0" xfId="613">
      <alignment horizontal="center" vertical="center"/>
      <protection locked="0" hidden="0"/>
    </xf>
    <xf numFmtId="0" fontId="121" fillId="0" borderId="0" applyAlignment="1" applyProtection="1" pivotButton="0" quotePrefix="0" xfId="636">
      <alignment horizontal="left" vertical="center"/>
      <protection locked="1" hidden="1"/>
    </xf>
    <xf numFmtId="0" fontId="92" fillId="0" borderId="15" applyAlignment="1" applyProtection="1" pivotButton="0" quotePrefix="0" xfId="0">
      <alignment horizontal="left" vertical="center"/>
      <protection locked="1" hidden="1"/>
    </xf>
    <xf numFmtId="0" fontId="92" fillId="20" borderId="4" applyAlignment="1" applyProtection="1" pivotButton="0" quotePrefix="0" xfId="613">
      <alignment horizontal="center" vertical="center"/>
      <protection locked="0" hidden="0"/>
    </xf>
    <xf numFmtId="0" fontId="92" fillId="0" borderId="0" applyAlignment="1" applyProtection="1" pivotButton="0" quotePrefix="0" xfId="0">
      <alignment horizontal="left" vertical="center"/>
      <protection locked="0" hidden="0"/>
    </xf>
    <xf numFmtId="0" fontId="64" fillId="0" borderId="4" applyAlignment="1" applyProtection="1" pivotButton="0" quotePrefix="0" xfId="0">
      <alignment horizontal="center" vertical="center" wrapText="1"/>
      <protection locked="1" hidden="1"/>
    </xf>
    <xf numFmtId="0" fontId="92" fillId="20" borderId="4" applyAlignment="1" applyProtection="1" pivotButton="0" quotePrefix="0" xfId="613">
      <alignment horizontal="center" vertical="center"/>
      <protection locked="1" hidden="1"/>
    </xf>
    <xf numFmtId="49" fontId="71" fillId="0" borderId="21" applyAlignment="1" applyProtection="1" pivotButton="0" quotePrefix="0" xfId="0">
      <alignment horizontal="center" vertical="center"/>
      <protection locked="1" hidden="1"/>
    </xf>
    <xf numFmtId="0" fontId="85" fillId="0" borderId="0" applyAlignment="1" applyProtection="1" pivotButton="0" quotePrefix="0" xfId="0">
      <alignment horizontal="center" vertical="top" wrapText="1"/>
      <protection locked="1" hidden="1"/>
    </xf>
    <xf numFmtId="0" fontId="85" fillId="0" borderId="27" applyAlignment="1" applyProtection="1" pivotButton="0" quotePrefix="0" xfId="0">
      <alignment horizontal="center" vertical="center" wrapText="1"/>
      <protection locked="1" hidden="1"/>
    </xf>
    <xf numFmtId="49" fontId="85" fillId="0" borderId="9" applyAlignment="1" applyProtection="1" pivotButton="0" quotePrefix="0" xfId="0">
      <alignment horizontal="center" vertical="center"/>
      <protection locked="1" hidden="1"/>
    </xf>
    <xf numFmtId="0" fontId="85" fillId="0" borderId="4" applyAlignment="1" applyProtection="1" pivotButton="0" quotePrefix="0" xfId="0">
      <alignment horizontal="center" vertical="center"/>
      <protection locked="1" hidden="1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164" fontId="124" fillId="29" borderId="0" applyAlignment="1" applyProtection="1" pivotButton="0" quotePrefix="0" xfId="636">
      <alignment horizontal="left" vertical="center"/>
      <protection locked="0" hidden="0"/>
    </xf>
    <xf numFmtId="164" fontId="124" fillId="29" borderId="14" applyAlignment="1" applyProtection="1" pivotButton="0" quotePrefix="0" xfId="636">
      <alignment vertical="center"/>
      <protection locked="0" hidden="0"/>
    </xf>
    <xf numFmtId="164" fontId="124" fillId="29" borderId="15" applyAlignment="1" applyProtection="1" pivotButton="0" quotePrefix="0" xfId="636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164" fontId="124" fillId="29" borderId="15" applyAlignment="1" applyProtection="1" pivotButton="0" quotePrefix="0" xfId="636">
      <alignment horizontal="left" vertical="center"/>
      <protection locked="0" hidden="0"/>
    </xf>
    <xf numFmtId="164" fontId="124" fillId="25" borderId="0" applyAlignment="1" applyProtection="1" pivotButton="0" quotePrefix="0" xfId="636">
      <alignment vertical="center"/>
      <protection locked="0" hidden="0"/>
    </xf>
    <xf numFmtId="165" fontId="71" fillId="0" borderId="0" applyAlignment="1" applyProtection="1" pivotButton="0" quotePrefix="0" xfId="714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165" fontId="73" fillId="0" borderId="0" applyAlignment="1" pivotButton="0" quotePrefix="0" xfId="714">
      <alignment horizontal="right" vertical="top" wrapText="1"/>
    </xf>
    <xf numFmtId="165" fontId="72" fillId="0" borderId="0" applyAlignment="1" applyProtection="1" pivotButton="0" quotePrefix="0" xfId="714">
      <alignment horizontal="center" vertical="center" wrapText="1"/>
      <protection locked="0" hidden="0"/>
    </xf>
    <xf numFmtId="0" fontId="0" fillId="0" borderId="22" pivotButton="0" quotePrefix="0" xfId="0"/>
    <xf numFmtId="0" fontId="0" fillId="0" borderId="12" pivotButton="0" quotePrefix="0" xfId="0"/>
    <xf numFmtId="0" fontId="0" fillId="0" borderId="17" pivotButton="0" quotePrefix="0" xfId="0"/>
    <xf numFmtId="164" fontId="72" fillId="29" borderId="4" applyAlignment="1" applyProtection="1" pivotButton="0" quotePrefix="0" xfId="636">
      <alignment horizontal="center" vertical="center"/>
      <protection locked="0" hidden="0"/>
    </xf>
    <xf numFmtId="0" fontId="0" fillId="0" borderId="20" pivotButton="0" quotePrefix="0" xfId="0"/>
    <xf numFmtId="0" fontId="0" fillId="0" borderId="19" pivotButton="0" quotePrefix="0" xfId="0"/>
    <xf numFmtId="166" fontId="72" fillId="29" borderId="4" applyAlignment="1" applyProtection="1" pivotButton="0" quotePrefix="0" xfId="636">
      <alignment horizontal="center" vertical="center"/>
      <protection locked="0" hidden="0"/>
    </xf>
    <xf numFmtId="165" fontId="76" fillId="0" borderId="20" applyAlignment="1" pivotButton="0" quotePrefix="0" xfId="714">
      <alignment horizontal="right" vertical="center" wrapText="1"/>
    </xf>
    <xf numFmtId="165" fontId="66" fillId="0" borderId="0" applyAlignment="1" applyProtection="1" pivotButton="0" quotePrefix="0" xfId="714">
      <alignment horizontal="center" vertical="center" wrapText="1"/>
      <protection locked="0" hidden="0"/>
    </xf>
    <xf numFmtId="164" fontId="66" fillId="29" borderId="4" applyAlignment="1" applyProtection="1" pivotButton="0" quotePrefix="0" xfId="613">
      <alignment horizontal="left" vertical="center"/>
      <protection locked="0" hidden="0"/>
    </xf>
    <xf numFmtId="167" fontId="78" fillId="25" borderId="0" applyAlignment="1" applyProtection="1" pivotButton="0" quotePrefix="0" xfId="645">
      <alignment horizontal="center" vertical="center" wrapText="1"/>
      <protection locked="1" hidden="1"/>
    </xf>
    <xf numFmtId="167" fontId="78" fillId="25" borderId="0" applyAlignment="1" applyProtection="1" pivotButton="0" quotePrefix="0" xfId="0">
      <alignment horizontal="center" vertical="center"/>
      <protection locked="0" hidden="1"/>
    </xf>
    <xf numFmtId="165" fontId="71" fillId="0" borderId="0" applyAlignment="1" applyProtection="1" pivotButton="0" quotePrefix="0" xfId="714">
      <alignment horizontal="right" vertical="top" wrapText="1"/>
      <protection locked="1" hidden="1"/>
    </xf>
    <xf numFmtId="165" fontId="70" fillId="0" borderId="0" applyAlignment="1" applyProtection="1" pivotButton="0" quotePrefix="0" xfId="714">
      <alignment horizontal="center" vertical="center" wrapText="1"/>
      <protection locked="0" hidden="0"/>
    </xf>
    <xf numFmtId="165" fontId="70" fillId="0" borderId="0" applyAlignment="1" applyProtection="1" pivotButton="0" quotePrefix="0" xfId="714">
      <alignment horizontal="left" vertical="top" wrapText="1"/>
      <protection locked="0" hidden="0"/>
    </xf>
    <xf numFmtId="165" fontId="70" fillId="0" borderId="0" applyAlignment="1" applyProtection="1" pivotButton="0" quotePrefix="0" xfId="714">
      <alignment horizontal="left" vertical="top" wrapText="1"/>
      <protection locked="1" hidden="1"/>
    </xf>
    <xf numFmtId="167" fontId="70" fillId="0" borderId="4" applyAlignment="1" applyProtection="1" pivotButton="0" quotePrefix="0" xfId="654">
      <alignment horizontal="left" vertical="center" wrapText="1"/>
      <protection locked="1" hidden="1"/>
    </xf>
    <xf numFmtId="165" fontId="70" fillId="0" borderId="0" applyAlignment="1" applyProtection="1" pivotButton="0" quotePrefix="0" xfId="714">
      <alignment horizontal="left" vertical="center" wrapText="1"/>
      <protection locked="0" hidden="0"/>
    </xf>
    <xf numFmtId="165" fontId="70" fillId="0" borderId="0" applyAlignment="1" applyProtection="1" pivotButton="0" quotePrefix="0" xfId="714">
      <alignment horizontal="left" vertical="center" wrapText="1"/>
      <protection locked="1" hidden="1"/>
    </xf>
    <xf numFmtId="167" fontId="70" fillId="0" borderId="8" applyAlignment="1" applyProtection="1" pivotButton="0" quotePrefix="0" xfId="645">
      <alignment horizontal="center" vertical="center" wrapText="1"/>
      <protection locked="1" hidden="1"/>
    </xf>
    <xf numFmtId="167" fontId="70" fillId="0" borderId="12" applyAlignment="1" applyProtection="1" pivotButton="0" quotePrefix="0" xfId="0">
      <alignment horizontal="center" vertical="center"/>
      <protection locked="1" hidden="1"/>
    </xf>
    <xf numFmtId="167" fontId="70" fillId="0" borderId="12" applyAlignment="1" applyProtection="1" pivotButton="0" quotePrefix="0" xfId="645">
      <alignment horizontal="center" vertical="center" wrapText="1"/>
      <protection locked="1" hidden="1"/>
    </xf>
    <xf numFmtId="167" fontId="70" fillId="0" borderId="4" applyAlignment="1" applyProtection="1" pivotButton="0" quotePrefix="0" xfId="0">
      <alignment horizontal="center" vertical="center"/>
      <protection locked="1" hidden="1"/>
    </xf>
    <xf numFmtId="167" fontId="71" fillId="0" borderId="0" applyAlignment="1" applyProtection="1" pivotButton="0" quotePrefix="0" xfId="0">
      <alignment horizontal="center" vertical="center"/>
      <protection locked="1" hidden="1"/>
    </xf>
    <xf numFmtId="167" fontId="70" fillId="0" borderId="0" applyAlignment="1" applyProtection="1" pivotButton="0" quotePrefix="0" xfId="0">
      <alignment vertical="center"/>
      <protection locked="1" hidden="1"/>
    </xf>
    <xf numFmtId="167" fontId="70" fillId="0" borderId="4" applyAlignment="1" applyProtection="1" pivotButton="0" quotePrefix="0" xfId="0">
      <alignment vertical="center"/>
      <protection locked="1" hidden="1"/>
    </xf>
    <xf numFmtId="167" fontId="71" fillId="0" borderId="0" applyAlignment="1" applyProtection="1" pivotButton="0" quotePrefix="0" xfId="0">
      <alignment vertical="center"/>
      <protection locked="1" hidden="1"/>
    </xf>
    <xf numFmtId="167" fontId="71" fillId="0" borderId="9" applyAlignment="1" applyProtection="1" pivotButton="0" quotePrefix="0" xfId="0">
      <alignment horizontal="center" vertical="center"/>
      <protection locked="1" hidden="1"/>
    </xf>
    <xf numFmtId="0" fontId="0" fillId="0" borderId="20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167" fontId="70" fillId="0" borderId="21" applyAlignment="1" applyProtection="1" pivotButton="0" quotePrefix="0" xfId="0">
      <alignment vertical="center"/>
      <protection locked="1" hidden="1"/>
    </xf>
    <xf numFmtId="167" fontId="71" fillId="0" borderId="22" applyAlignment="1" applyProtection="1" pivotButton="0" quotePrefix="0" xfId="654">
      <alignment horizontal="left" vertical="center" wrapText="1"/>
      <protection locked="1" hidden="1"/>
    </xf>
    <xf numFmtId="167" fontId="70" fillId="0" borderId="14" applyAlignment="1" applyProtection="1" pivotButton="0" quotePrefix="0" xfId="654">
      <alignment horizontal="left" vertical="center" wrapText="1"/>
      <protection locked="1" hidden="1"/>
    </xf>
    <xf numFmtId="167" fontId="70" fillId="0" borderId="14" applyAlignment="1" applyProtection="1" pivotButton="0" quotePrefix="0" xfId="0">
      <alignment horizontal="center" vertical="center"/>
      <protection locked="1" hidden="1"/>
    </xf>
    <xf numFmtId="167" fontId="71" fillId="0" borderId="4" applyAlignment="1" applyProtection="1" pivotButton="0" quotePrefix="0" xfId="654">
      <alignment horizontal="left" vertical="center" wrapText="1"/>
      <protection locked="1" hidden="1"/>
    </xf>
    <xf numFmtId="167" fontId="71" fillId="0" borderId="4" applyAlignment="1" applyProtection="1" pivotButton="0" quotePrefix="0" xfId="0">
      <alignment horizontal="center" vertical="center"/>
      <protection locked="1" hidden="1"/>
    </xf>
    <xf numFmtId="167" fontId="71" fillId="0" borderId="20" applyAlignment="1" applyProtection="1" pivotButton="0" quotePrefix="0" xfId="0">
      <alignment horizontal="center" vertical="center"/>
      <protection locked="1" hidden="1"/>
    </xf>
    <xf numFmtId="167" fontId="70" fillId="0" borderId="0" applyAlignment="1" applyProtection="1" pivotButton="0" quotePrefix="0" xfId="654">
      <alignment horizontal="left" vertical="center" wrapText="1"/>
      <protection locked="1" hidden="1"/>
    </xf>
    <xf numFmtId="167" fontId="70" fillId="0" borderId="0" applyAlignment="1" applyProtection="1" pivotButton="0" quotePrefix="0" xfId="0">
      <alignment horizontal="center" vertical="center"/>
      <protection locked="1" hidden="1"/>
    </xf>
    <xf numFmtId="167" fontId="70" fillId="0" borderId="4" applyAlignment="1" applyProtection="1" pivotButton="0" quotePrefix="0" xfId="645">
      <alignment horizontal="center" vertical="center" wrapText="1"/>
      <protection locked="1" hidden="1"/>
    </xf>
    <xf numFmtId="165" fontId="84" fillId="25" borderId="0" applyAlignment="1" applyProtection="1" pivotButton="0" quotePrefix="0" xfId="714">
      <alignment horizontal="center" vertical="center" wrapText="1"/>
      <protection locked="1" hidden="1"/>
    </xf>
    <xf numFmtId="165" fontId="83" fillId="25" borderId="0" applyAlignment="1" applyProtection="1" pivotButton="0" quotePrefix="0" xfId="714">
      <alignment horizontal="center" vertical="center" wrapText="1"/>
      <protection locked="0" hidden="0"/>
    </xf>
    <xf numFmtId="167" fontId="86" fillId="25" borderId="4" applyAlignment="1" applyProtection="1" pivotButton="0" quotePrefix="0" xfId="654">
      <alignment horizontal="center" vertical="center"/>
      <protection locked="1" hidden="1"/>
    </xf>
    <xf numFmtId="167" fontId="86" fillId="25" borderId="9" applyAlignment="1" applyProtection="1" pivotButton="0" quotePrefix="0" xfId="654">
      <alignment horizontal="center" vertical="center"/>
      <protection locked="1" hidden="1"/>
    </xf>
    <xf numFmtId="167" fontId="87" fillId="25" borderId="4" applyAlignment="1" applyProtection="1" pivotButton="0" quotePrefix="0" xfId="645">
      <alignment horizontal="center" vertical="center" wrapText="1"/>
      <protection locked="1" hidden="1"/>
    </xf>
    <xf numFmtId="167" fontId="87" fillId="25" borderId="21" applyAlignment="1" applyProtection="1" pivotButton="0" quotePrefix="0" xfId="645">
      <alignment horizontal="left" vertical="center" wrapText="1"/>
      <protection locked="1" hidden="1"/>
    </xf>
    <xf numFmtId="167" fontId="87" fillId="25" borderId="4" applyAlignment="1" applyProtection="1" pivotButton="0" quotePrefix="0" xfId="0">
      <alignment horizontal="center" vertical="center"/>
      <protection locked="1" hidden="1"/>
    </xf>
    <xf numFmtId="167" fontId="87" fillId="25" borderId="4" applyAlignment="1" applyProtection="1" pivotButton="0" quotePrefix="0" xfId="645">
      <alignment horizontal="left" vertical="center" wrapText="1"/>
      <protection locked="1" hidden="1"/>
    </xf>
    <xf numFmtId="167" fontId="87" fillId="25" borderId="4" applyAlignment="1" applyProtection="1" pivotButton="0" quotePrefix="0" xfId="645">
      <alignment vertical="center" wrapText="1"/>
      <protection locked="1" hidden="1"/>
    </xf>
    <xf numFmtId="167" fontId="86" fillId="25" borderId="4" applyAlignment="1" applyProtection="1" pivotButton="0" quotePrefix="0" xfId="645">
      <alignment horizontal="center" vertical="center"/>
      <protection locked="1" hidden="1"/>
    </xf>
    <xf numFmtId="167" fontId="86" fillId="25" borderId="21" applyAlignment="1" applyProtection="1" pivotButton="0" quotePrefix="0" xfId="645">
      <alignment vertical="center"/>
      <protection locked="1" hidden="1"/>
    </xf>
    <xf numFmtId="167" fontId="86" fillId="25" borderId="22" applyAlignment="1" applyProtection="1" pivotButton="0" quotePrefix="0" xfId="645">
      <alignment vertical="center"/>
      <protection locked="1" hidden="1"/>
    </xf>
    <xf numFmtId="167" fontId="86" fillId="25" borderId="12" applyAlignment="1" applyProtection="1" pivotButton="0" quotePrefix="0" xfId="645">
      <alignment vertical="center"/>
      <protection locked="1" hidden="1"/>
    </xf>
    <xf numFmtId="167" fontId="86" fillId="25" borderId="4" applyAlignment="1" applyProtection="1" pivotButton="0" quotePrefix="0" xfId="645">
      <alignment horizontal="center" vertical="center" wrapText="1"/>
      <protection locked="1" hidden="1"/>
    </xf>
    <xf numFmtId="167" fontId="86" fillId="25" borderId="4" applyAlignment="1" applyProtection="1" pivotButton="0" quotePrefix="0" xfId="645">
      <alignment vertical="center" wrapText="1"/>
      <protection locked="1" hidden="1"/>
    </xf>
    <xf numFmtId="165" fontId="76" fillId="0" borderId="0" applyAlignment="1" pivotButton="0" quotePrefix="0" xfId="714">
      <alignment horizontal="right" vertical="center" wrapText="1"/>
    </xf>
    <xf numFmtId="0" fontId="0" fillId="0" borderId="15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165" fontId="90" fillId="0" borderId="0" applyAlignment="1" applyProtection="1" pivotButton="0" quotePrefix="0" xfId="714">
      <alignment horizontal="center" vertical="center" wrapText="1"/>
      <protection locked="0" hidden="0"/>
    </xf>
    <xf numFmtId="165" fontId="90" fillId="0" borderId="0" applyAlignment="1" applyProtection="1" pivotButton="0" quotePrefix="0" xfId="714">
      <alignment horizontal="left" vertical="center" wrapText="1"/>
      <protection locked="0" hidden="0"/>
    </xf>
    <xf numFmtId="0" fontId="0" fillId="0" borderId="24" applyProtection="1" pivotButton="0" quotePrefix="0" xfId="0">
      <protection locked="1" hidden="1"/>
    </xf>
    <xf numFmtId="166" fontId="91" fillId="0" borderId="4" applyAlignment="1" applyProtection="1" pivotButton="0" quotePrefix="0" xfId="0">
      <alignment horizontal="center" vertical="center" wrapText="1"/>
      <protection locked="1" hidden="1"/>
    </xf>
    <xf numFmtId="165" fontId="64" fillId="0" borderId="0" applyAlignment="1" applyProtection="1" pivotButton="0" quotePrefix="0" xfId="714">
      <alignment horizontal="right" vertical="top" wrapText="1"/>
      <protection locked="1" hidden="1"/>
    </xf>
    <xf numFmtId="165" fontId="64" fillId="0" borderId="0" applyAlignment="1" applyProtection="1" pivotButton="0" quotePrefix="0" xfId="714">
      <alignment horizontal="center" vertical="center" wrapText="1"/>
      <protection locked="1" hidden="1"/>
    </xf>
    <xf numFmtId="165" fontId="92" fillId="0" borderId="0" applyAlignment="1" applyProtection="1" pivotButton="0" quotePrefix="0" xfId="714">
      <alignment horizontal="center" vertical="center" wrapText="1"/>
      <protection locked="1" hidden="1"/>
    </xf>
    <xf numFmtId="165" fontId="64" fillId="0" borderId="0" applyAlignment="1" applyProtection="1" pivotButton="0" quotePrefix="0" xfId="714">
      <alignment horizontal="right" vertical="center" wrapText="1"/>
      <protection locked="1" hidden="1"/>
    </xf>
    <xf numFmtId="168" fontId="70" fillId="0" borderId="4" applyAlignment="1" applyProtection="1" pivotButton="0" quotePrefix="0" xfId="0">
      <alignment horizontal="center" vertical="center"/>
      <protection locked="1" hidden="1"/>
    </xf>
    <xf numFmtId="166" fontId="70" fillId="0" borderId="4" applyAlignment="1" applyProtection="1" pivotButton="0" quotePrefix="0" xfId="0">
      <alignment horizontal="center" vertical="center"/>
      <protection locked="1" hidden="1"/>
    </xf>
    <xf numFmtId="165" fontId="92" fillId="0" borderId="0" applyAlignment="1" applyProtection="1" pivotButton="0" quotePrefix="0" xfId="714">
      <alignment horizontal="center" vertical="center" wrapText="1"/>
      <protection locked="0" hidden="0"/>
    </xf>
    <xf numFmtId="166" fontId="70" fillId="0" borderId="12" applyAlignment="1" applyProtection="1" pivotButton="0" quotePrefix="0" xfId="636">
      <alignment horizontal="center" vertical="center"/>
      <protection locked="1" hidden="1"/>
    </xf>
    <xf numFmtId="166" fontId="70" fillId="0" borderId="8" applyAlignment="1" applyProtection="1" pivotButton="0" quotePrefix="0" xfId="636">
      <alignment horizontal="center" vertical="center"/>
      <protection locked="1" hidden="1"/>
    </xf>
    <xf numFmtId="166" fontId="70" fillId="0" borderId="12" applyAlignment="1" applyProtection="1" pivotButton="0" quotePrefix="0" xfId="636">
      <alignment horizontal="center"/>
      <protection locked="1" hidden="1"/>
    </xf>
    <xf numFmtId="166" fontId="70" fillId="0" borderId="22" applyAlignment="1" applyProtection="1" pivotButton="0" quotePrefix="0" xfId="636">
      <alignment horizontal="center" vertical="center"/>
      <protection locked="1" hidden="1"/>
    </xf>
    <xf numFmtId="166" fontId="70" fillId="0" borderId="24" applyAlignment="1" applyProtection="1" pivotButton="0" quotePrefix="0" xfId="636">
      <alignment horizontal="center" vertical="center"/>
      <protection locked="1" hidden="1"/>
    </xf>
    <xf numFmtId="166" fontId="70" fillId="0" borderId="21" applyAlignment="1" applyProtection="1" pivotButton="0" quotePrefix="0" xfId="636">
      <alignment horizontal="center" vertical="center"/>
      <protection locked="1" hidden="1"/>
    </xf>
    <xf numFmtId="165" fontId="76" fillId="0" borderId="0" applyAlignment="1" applyProtection="1" pivotButton="0" quotePrefix="0" xfId="714">
      <alignment horizontal="right" vertical="top" wrapText="1"/>
      <protection locked="1" hidden="1"/>
    </xf>
    <xf numFmtId="165" fontId="76" fillId="0" borderId="0" applyAlignment="1" applyProtection="1" pivotButton="0" quotePrefix="0" xfId="714">
      <alignment horizontal="center" vertical="center" wrapText="1"/>
      <protection locked="1" hidden="1"/>
    </xf>
    <xf numFmtId="166" fontId="66" fillId="0" borderId="4" applyAlignment="1" applyProtection="1" pivotButton="0" quotePrefix="0" xfId="0">
      <alignment horizontal="center" vertical="center" wrapText="1"/>
      <protection locked="1" hidden="1"/>
    </xf>
    <xf numFmtId="166" fontId="66" fillId="0" borderId="9" applyAlignment="1" applyProtection="1" pivotButton="0" quotePrefix="0" xfId="0">
      <alignment horizontal="center" vertical="center" wrapText="1"/>
      <protection locked="1" hidden="1"/>
    </xf>
    <xf numFmtId="166" fontId="92" fillId="0" borderId="4" applyAlignment="1" applyProtection="1" pivotButton="0" quotePrefix="0" xfId="636">
      <alignment horizontal="left" vertical="center" wrapText="1"/>
      <protection locked="1" hidden="1"/>
    </xf>
    <xf numFmtId="169" fontId="101" fillId="0" borderId="14" applyAlignment="1" applyProtection="1" pivotButton="0" quotePrefix="0" xfId="1208">
      <alignment horizontal="center" vertical="center"/>
      <protection locked="1" hidden="1"/>
    </xf>
    <xf numFmtId="165" fontId="103" fillId="0" borderId="0" applyAlignment="1" applyProtection="1" pivotButton="0" quotePrefix="0" xfId="714">
      <alignment horizontal="right" vertical="top" wrapText="1"/>
      <protection locked="1" hidden="1"/>
    </xf>
    <xf numFmtId="165" fontId="103" fillId="0" borderId="0" applyAlignment="1" applyProtection="1" pivotButton="0" quotePrefix="0" xfId="714">
      <alignment horizontal="center" vertical="center" wrapText="1"/>
      <protection locked="1" hidden="1"/>
    </xf>
    <xf numFmtId="165" fontId="103" fillId="0" borderId="0" applyAlignment="1" applyProtection="1" pivotButton="0" quotePrefix="0" xfId="714">
      <alignment horizontal="right" vertical="center" wrapText="1"/>
      <protection locked="1" hidden="1"/>
    </xf>
    <xf numFmtId="165" fontId="102" fillId="0" borderId="0" applyAlignment="1" applyProtection="1" pivotButton="0" quotePrefix="0" xfId="714">
      <alignment horizontal="center" vertical="center" wrapText="1"/>
      <protection locked="0" hidden="0"/>
    </xf>
    <xf numFmtId="169" fontId="108" fillId="0" borderId="4" applyAlignment="1" applyProtection="1" pivotButton="0" quotePrefix="0" xfId="1208">
      <alignment horizontal="center" vertical="center"/>
      <protection locked="1" hidden="1"/>
    </xf>
    <xf numFmtId="167" fontId="107" fillId="0" borderId="12" applyAlignment="1" applyProtection="1" pivotButton="0" quotePrefix="0" xfId="400">
      <alignment vertical="center" wrapText="1"/>
      <protection locked="1" hidden="1"/>
    </xf>
    <xf numFmtId="165" fontId="84" fillId="0" borderId="0" applyAlignment="1" applyProtection="1" pivotButton="0" quotePrefix="0" xfId="714">
      <alignment horizontal="right" vertical="top" wrapText="1"/>
      <protection locked="1" hidden="1"/>
    </xf>
    <xf numFmtId="165" fontId="84" fillId="0" borderId="0" applyAlignment="1" applyProtection="1" pivotButton="0" quotePrefix="0" xfId="714">
      <alignment horizontal="center" vertical="center" wrapText="1"/>
      <protection locked="1" hidden="1"/>
    </xf>
    <xf numFmtId="165" fontId="84" fillId="0" borderId="0" applyAlignment="1" applyProtection="1" pivotButton="0" quotePrefix="0" xfId="714">
      <alignment horizontal="right" vertical="center" wrapText="1"/>
      <protection locked="1" hidden="1"/>
    </xf>
    <xf numFmtId="165" fontId="83" fillId="0" borderId="0" applyAlignment="1" applyProtection="1" pivotButton="0" quotePrefix="0" xfId="714">
      <alignment horizontal="center" vertical="center" wrapText="1"/>
      <protection locked="0" hidden="0"/>
    </xf>
    <xf numFmtId="166" fontId="88" fillId="0" borderId="4" applyAlignment="1" pivotButton="0" quotePrefix="0" xfId="1">
      <alignment horizontal="center" vertical="center"/>
    </xf>
    <xf numFmtId="164" fontId="88" fillId="0" borderId="4" applyAlignment="1" pivotButton="0" quotePrefix="0" xfId="1">
      <alignment horizontal="center" vertical="center"/>
    </xf>
    <xf numFmtId="168" fontId="88" fillId="0" borderId="4" applyAlignment="1" pivotButton="0" quotePrefix="0" xfId="1">
      <alignment horizontal="center" vertical="center"/>
    </xf>
    <xf numFmtId="170" fontId="85" fillId="0" borderId="22" applyAlignment="1" applyProtection="1" pivotButton="0" quotePrefix="0" xfId="0">
      <alignment vertical="center"/>
      <protection locked="1" hidden="1"/>
    </xf>
    <xf numFmtId="166" fontId="70" fillId="0" borderId="4" applyAlignment="1" applyProtection="1" pivotButton="0" quotePrefix="0" xfId="0">
      <alignment horizontal="center" vertical="center" wrapText="1"/>
      <protection locked="1" hidden="1"/>
    </xf>
    <xf numFmtId="170" fontId="70" fillId="0" borderId="0" applyAlignment="1" applyProtection="1" pivotButton="0" quotePrefix="0" xfId="0">
      <alignment vertical="center" wrapText="1"/>
      <protection locked="1" hidden="1"/>
    </xf>
    <xf numFmtId="170" fontId="70" fillId="0" borderId="17" applyAlignment="1" applyProtection="1" pivotButton="0" quotePrefix="0" xfId="0">
      <alignment vertical="center" wrapText="1"/>
      <protection locked="1" hidden="1"/>
    </xf>
    <xf numFmtId="170" fontId="71" fillId="0" borderId="22" applyAlignment="1" applyProtection="1" pivotButton="0" quotePrefix="0" xfId="0">
      <alignment vertical="center" wrapText="1"/>
      <protection locked="1" hidden="1"/>
    </xf>
    <xf numFmtId="165" fontId="64" fillId="0" borderId="0" applyAlignment="1" pivotButton="0" quotePrefix="0" xfId="714">
      <alignment horizontal="right" vertical="top" wrapText="1"/>
    </xf>
    <xf numFmtId="0" fontId="0" fillId="0" borderId="14" pivotButton="0" quotePrefix="0" xfId="0"/>
    <xf numFmtId="164" fontId="70" fillId="0" borderId="4" applyAlignment="1" pivotButton="0" quotePrefix="0" xfId="0">
      <alignment horizontal="center" vertical="center"/>
    </xf>
    <xf numFmtId="170" fontId="70" fillId="0" borderId="22" applyAlignment="1" pivotButton="0" quotePrefix="0" xfId="0">
      <alignment vertical="center"/>
    </xf>
    <xf numFmtId="170" fontId="70" fillId="0" borderId="0" applyAlignment="1" pivotButton="0" quotePrefix="0" xfId="0">
      <alignment vertical="center"/>
    </xf>
    <xf numFmtId="170" fontId="70" fillId="25" borderId="0" applyAlignment="1" pivotButton="0" quotePrefix="0" xfId="0">
      <alignment vertical="center"/>
    </xf>
    <xf numFmtId="0" fontId="0" fillId="0" borderId="15" pivotButton="0" quotePrefix="0" xfId="0"/>
    <xf numFmtId="0" fontId="0" fillId="0" borderId="24" pivotButton="0" quotePrefix="0" xfId="0"/>
    <xf numFmtId="166" fontId="70" fillId="0" borderId="4" applyAlignment="1" applyProtection="1" pivotButton="0" quotePrefix="0" xfId="1">
      <alignment horizontal="center" vertical="center"/>
      <protection locked="1" hidden="1"/>
    </xf>
    <xf numFmtId="0" fontId="0" fillId="0" borderId="22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165" fontId="105" fillId="0" borderId="0" applyAlignment="1" pivotButton="0" quotePrefix="0" xfId="714">
      <alignment horizontal="right" vertical="top" wrapText="1"/>
    </xf>
    <xf numFmtId="165" fontId="105" fillId="0" borderId="0" applyAlignment="1" applyProtection="1" pivotButton="0" quotePrefix="0" xfId="714">
      <alignment horizontal="center" vertical="center" wrapText="1"/>
      <protection locked="1" hidden="1"/>
    </xf>
    <xf numFmtId="165" fontId="105" fillId="0" borderId="0" applyAlignment="1" applyProtection="1" pivotButton="0" quotePrefix="0" xfId="714">
      <alignment horizontal="right" vertical="center" wrapText="1"/>
      <protection locked="1" hidden="1"/>
    </xf>
    <xf numFmtId="165" fontId="106" fillId="0" borderId="0" applyAlignment="1" applyProtection="1" pivotButton="0" quotePrefix="0" xfId="714">
      <alignment horizontal="center" vertical="center" wrapText="1"/>
      <protection locked="0" hidden="0"/>
    </xf>
    <xf numFmtId="167" fontId="105" fillId="25" borderId="9" applyAlignment="1" applyProtection="1" pivotButton="0" quotePrefix="0" xfId="707">
      <alignment horizontal="center" vertical="center" wrapText="1"/>
      <protection locked="1" hidden="1"/>
    </xf>
    <xf numFmtId="167" fontId="103" fillId="25" borderId="4" applyAlignment="1" applyProtection="1" pivotButton="0" quotePrefix="0" xfId="707">
      <alignment horizontal="center" vertical="center" wrapText="1"/>
      <protection locked="1" hidden="1"/>
    </xf>
    <xf numFmtId="167" fontId="103" fillId="0" borderId="4" applyAlignment="1" applyProtection="1" pivotButton="0" quotePrefix="0" xfId="707">
      <alignment horizontal="center" vertical="center" wrapText="1"/>
      <protection locked="1" hidden="1"/>
    </xf>
    <xf numFmtId="167" fontId="105" fillId="25" borderId="14" applyAlignment="1" applyProtection="1" pivotButton="0" quotePrefix="0" xfId="707">
      <alignment horizontal="center" vertical="center" wrapText="1"/>
      <protection locked="1" hidden="1"/>
    </xf>
    <xf numFmtId="0" fontId="0" fillId="0" borderId="2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25" applyProtection="1" pivotButton="0" quotePrefix="0" xfId="0">
      <protection locked="1" hidden="1"/>
    </xf>
  </cellXfs>
  <cellStyles count="1209">
    <cellStyle name="Normal" xfId="0" builtinId="0"/>
    <cellStyle name="Pourcentage" xfId="1" builtinId="5"/>
    <cellStyle name="20% - 1. jelölőszín" xfId="2"/>
    <cellStyle name="20% - 1. jelölőszín 2" xfId="3"/>
    <cellStyle name="20% - 1. jelölőszín 2 2" xfId="4"/>
    <cellStyle name="20% - 1. jelölőszín 2 2 2" xfId="5"/>
    <cellStyle name="20% - 1. jelölőszín 2 3" xfId="6"/>
    <cellStyle name="20% - 1. jelölőszín 3" xfId="7"/>
    <cellStyle name="20% - 1. jelölőszín 3 2" xfId="8"/>
    <cellStyle name="20% - 1. jelölőszín 4" xfId="9"/>
    <cellStyle name="20% - 1. jelölőszín_20130128_ITS on reporting_Annex I_CA" xfId="10"/>
    <cellStyle name="20% - 2. jelölőszín" xfId="11"/>
    <cellStyle name="20% - 2. jelölőszín 2" xfId="12"/>
    <cellStyle name="20% - 2. jelölőszín 2 2" xfId="13"/>
    <cellStyle name="20% - 2. jelölőszín 2 2 2" xfId="14"/>
    <cellStyle name="20% - 2. jelölőszín 2 3" xfId="15"/>
    <cellStyle name="20% - 2. jelölőszín 3" xfId="16"/>
    <cellStyle name="20% - 2. jelölőszín 3 2" xfId="17"/>
    <cellStyle name="20% - 2. jelölőszín 4" xfId="18"/>
    <cellStyle name="20% - 2. jelölőszín_20130128_ITS on reporting_Annex I_CA" xfId="19"/>
    <cellStyle name="20% - 3. jelölőszín" xfId="20"/>
    <cellStyle name="20% - 3. jelölőszín 2" xfId="21"/>
    <cellStyle name="20% - 3. jelölőszín 2 2" xfId="22"/>
    <cellStyle name="20% - 3. jelölőszín 2 2 2" xfId="23"/>
    <cellStyle name="20% - 3. jelölőszín 2 3" xfId="24"/>
    <cellStyle name="20% - 3. jelölőszín 3" xfId="25"/>
    <cellStyle name="20% - 3. jelölőszín 3 2" xfId="26"/>
    <cellStyle name="20% - 3. jelölőszín 4" xfId="27"/>
    <cellStyle name="20% - 3. jelölőszín_20130128_ITS on reporting_Annex I_CA" xfId="28"/>
    <cellStyle name="20% - 4. jelölőszín" xfId="29"/>
    <cellStyle name="20% - 4. jelölőszín 2" xfId="30"/>
    <cellStyle name="20% - 4. jelölőszín 2 2" xfId="31"/>
    <cellStyle name="20% - 4. jelölőszín 2 2 2" xfId="32"/>
    <cellStyle name="20% - 4. jelölőszín 2 3" xfId="33"/>
    <cellStyle name="20% - 4. jelölőszín 3" xfId="34"/>
    <cellStyle name="20% - 4. jelölőszín 3 2" xfId="35"/>
    <cellStyle name="20% - 4. jelölőszín 4" xfId="36"/>
    <cellStyle name="20% - 4. jelölőszín_20130128_ITS on reporting_Annex I_CA" xfId="37"/>
    <cellStyle name="20% - 5. jelölőszín" xfId="38"/>
    <cellStyle name="20% - 5. jelölőszín 2" xfId="39"/>
    <cellStyle name="20% - 5. jelölőszín 2 2" xfId="40"/>
    <cellStyle name="20% - 5. jelölőszín 2 2 2" xfId="41"/>
    <cellStyle name="20% - 5. jelölőszín 2 3" xfId="42"/>
    <cellStyle name="20% - 5. jelölőszín 3" xfId="43"/>
    <cellStyle name="20% - 5. jelölőszín 3 2" xfId="44"/>
    <cellStyle name="20% - 5. jelölőszín 4" xfId="45"/>
    <cellStyle name="20% - 5. jelölőszín_20130128_ITS on reporting_Annex I_CA" xfId="46"/>
    <cellStyle name="20% - 6. jelölőszín" xfId="47"/>
    <cellStyle name="20% - 6. jelölőszín 2" xfId="48"/>
    <cellStyle name="20% - 6. jelölőszín 2 2" xfId="49"/>
    <cellStyle name="20% - 6. jelölőszín 2 2 2" xfId="50"/>
    <cellStyle name="20% - 6. jelölőszín 2 3" xfId="51"/>
    <cellStyle name="20% - 6. jelölőszín 3" xfId="52"/>
    <cellStyle name="20% - 6. jelölőszín 3 2" xfId="53"/>
    <cellStyle name="20% - 6. jelölőszín 4" xfId="54"/>
    <cellStyle name="20% - 6. jelölőszín_20130128_ITS on reporting_Annex I_CA" xfId="55"/>
    <cellStyle name="20% - Accent1 2" xfId="56"/>
    <cellStyle name="20% - Accent1 2 2" xfId="57"/>
    <cellStyle name="20% - Accent2 2" xfId="58"/>
    <cellStyle name="20% - Accent2 2 2" xfId="59"/>
    <cellStyle name="20% - Accent3 2" xfId="60"/>
    <cellStyle name="20% - Accent3 2 2" xfId="61"/>
    <cellStyle name="20% - Accent4 2" xfId="62"/>
    <cellStyle name="20% - Accent4 2 2" xfId="63"/>
    <cellStyle name="20% - Accent5 2" xfId="64"/>
    <cellStyle name="20% - Accent5 2 2" xfId="65"/>
    <cellStyle name="20% - Accent6 2" xfId="66"/>
    <cellStyle name="20% - Accent6 2 2" xfId="67"/>
    <cellStyle name="20% - Énfasis1" xfId="68"/>
    <cellStyle name="20% - Énfasis1 2" xfId="69"/>
    <cellStyle name="20% - Énfasis1 2 2" xfId="70"/>
    <cellStyle name="20% - Énfasis1 3" xfId="71"/>
    <cellStyle name="20% - Énfasis2" xfId="72"/>
    <cellStyle name="20% - Énfasis2 2" xfId="73"/>
    <cellStyle name="20% - Énfasis2 2 2" xfId="74"/>
    <cellStyle name="20% - Énfasis2 3" xfId="75"/>
    <cellStyle name="20% - Énfasis3" xfId="76"/>
    <cellStyle name="20% - Énfasis3 2" xfId="77"/>
    <cellStyle name="20% - Énfasis3 2 2" xfId="78"/>
    <cellStyle name="20% - Énfasis3 3" xfId="79"/>
    <cellStyle name="20% - Énfasis4" xfId="80"/>
    <cellStyle name="20% - Énfasis4 2" xfId="81"/>
    <cellStyle name="20% - Énfasis4 2 2" xfId="82"/>
    <cellStyle name="20% - Énfasis4 3" xfId="83"/>
    <cellStyle name="20% - Énfasis5" xfId="84"/>
    <cellStyle name="20% - Énfasis5 2" xfId="85"/>
    <cellStyle name="20% - Énfasis5 2 2" xfId="86"/>
    <cellStyle name="20% - Énfasis5 3" xfId="87"/>
    <cellStyle name="20% - Énfasis6" xfId="88"/>
    <cellStyle name="20% - Énfasis6 2" xfId="89"/>
    <cellStyle name="20% - Énfasis6 2 2" xfId="90"/>
    <cellStyle name="20% - Énfasis6 3" xfId="91"/>
    <cellStyle name="40% - 1. jelölőszín" xfId="92"/>
    <cellStyle name="40% - 1. jelölőszín 2" xfId="93"/>
    <cellStyle name="40% - 1. jelölőszín 2 2" xfId="94"/>
    <cellStyle name="40% - 1. jelölőszín 2 2 2" xfId="95"/>
    <cellStyle name="40% - 1. jelölőszín 2 3" xfId="96"/>
    <cellStyle name="40% - 1. jelölőszín 3" xfId="97"/>
    <cellStyle name="40% - 1. jelölőszín 3 2" xfId="98"/>
    <cellStyle name="40% - 1. jelölőszín 4" xfId="99"/>
    <cellStyle name="40% - 1. jelölőszín_20130128_ITS on reporting_Annex I_CA" xfId="100"/>
    <cellStyle name="40% - 2. jelölőszín" xfId="101"/>
    <cellStyle name="40% - 2. jelölőszín 2" xfId="102"/>
    <cellStyle name="40% - 2. jelölőszín 2 2" xfId="103"/>
    <cellStyle name="40% - 2. jelölőszín 2 2 2" xfId="104"/>
    <cellStyle name="40% - 2. jelölőszín 2 3" xfId="105"/>
    <cellStyle name="40% - 2. jelölőszín 3" xfId="106"/>
    <cellStyle name="40% - 2. jelölőszín 3 2" xfId="107"/>
    <cellStyle name="40% - 2. jelölőszín 4" xfId="108"/>
    <cellStyle name="40% - 2. jelölőszín_20130128_ITS on reporting_Annex I_CA" xfId="109"/>
    <cellStyle name="40% - 3. jelölőszín" xfId="110"/>
    <cellStyle name="40% - 3. jelölőszín 2" xfId="111"/>
    <cellStyle name="40% - 3. jelölőszín 2 2" xfId="112"/>
    <cellStyle name="40% - 3. jelölőszín 2 2 2" xfId="113"/>
    <cellStyle name="40% - 3. jelölőszín 2 3" xfId="114"/>
    <cellStyle name="40% - 3. jelölőszín 3" xfId="115"/>
    <cellStyle name="40% - 3. jelölőszín 3 2" xfId="116"/>
    <cellStyle name="40% - 3. jelölőszín 4" xfId="117"/>
    <cellStyle name="40% - 3. jelölőszín_20130128_ITS on reporting_Annex I_CA" xfId="118"/>
    <cellStyle name="40% - 4. jelölőszín" xfId="119"/>
    <cellStyle name="40% - 4. jelölőszín 2" xfId="120"/>
    <cellStyle name="40% - 4. jelölőszín 2 2" xfId="121"/>
    <cellStyle name="40% - 4. jelölőszín 2 2 2" xfId="122"/>
    <cellStyle name="40% - 4. jelölőszín 2 3" xfId="123"/>
    <cellStyle name="40% - 4. jelölőszín 3" xfId="124"/>
    <cellStyle name="40% - 4. jelölőszín 3 2" xfId="125"/>
    <cellStyle name="40% - 4. jelölőszín 4" xfId="126"/>
    <cellStyle name="40% - 4. jelölőszín_20130128_ITS on reporting_Annex I_CA" xfId="127"/>
    <cellStyle name="40% - 5. jelölőszín" xfId="128"/>
    <cellStyle name="40% - 5. jelölőszín 2" xfId="129"/>
    <cellStyle name="40% - 5. jelölőszín 2 2" xfId="130"/>
    <cellStyle name="40% - 5. jelölőszín 2 2 2" xfId="131"/>
    <cellStyle name="40% - 5. jelölőszín 2 3" xfId="132"/>
    <cellStyle name="40% - 5. jelölőszín 3" xfId="133"/>
    <cellStyle name="40% - 5. jelölőszín 3 2" xfId="134"/>
    <cellStyle name="40% - 5. jelölőszín 4" xfId="135"/>
    <cellStyle name="40% - 5. jelölőszín_20130128_ITS on reporting_Annex I_CA" xfId="136"/>
    <cellStyle name="40% - 6. jelölőszín" xfId="137"/>
    <cellStyle name="40% - 6. jelölőszín 2" xfId="138"/>
    <cellStyle name="40% - 6. jelölőszín 2 2" xfId="139"/>
    <cellStyle name="40% - 6. jelölőszín 2 2 2" xfId="140"/>
    <cellStyle name="40% - 6. jelölőszín 2 3" xfId="141"/>
    <cellStyle name="40% - 6. jelölőszín 3" xfId="142"/>
    <cellStyle name="40% - 6. jelölőszín 3 2" xfId="143"/>
    <cellStyle name="40% - 6. jelölőszín 4" xfId="144"/>
    <cellStyle name="40% - 6. jelölőszín_20130128_ITS on reporting_Annex I_CA" xfId="145"/>
    <cellStyle name="40% - Accent1 2" xfId="146"/>
    <cellStyle name="40% - Accent1 2 2" xfId="147"/>
    <cellStyle name="40% - Accent2 2" xfId="148"/>
    <cellStyle name="40% - Accent2 2 2" xfId="149"/>
    <cellStyle name="40% - Accent3 2" xfId="150"/>
    <cellStyle name="40% - Accent3 2 2" xfId="151"/>
    <cellStyle name="40% - Accent4 2" xfId="152"/>
    <cellStyle name="40% - Accent4 2 2" xfId="153"/>
    <cellStyle name="40% - Accent5 2" xfId="154"/>
    <cellStyle name="40% - Accent5 2 2" xfId="155"/>
    <cellStyle name="40% - Accent6 2" xfId="156"/>
    <cellStyle name="40% - Accent6 2 2" xfId="157"/>
    <cellStyle name="40% - Énfasis1" xfId="158"/>
    <cellStyle name="40% - Énfasis1 2" xfId="159"/>
    <cellStyle name="40% - Énfasis1 2 2" xfId="160"/>
    <cellStyle name="40% - Énfasis1 3" xfId="161"/>
    <cellStyle name="40% - Énfasis2" xfId="162"/>
    <cellStyle name="40% - Énfasis2 2" xfId="163"/>
    <cellStyle name="40% - Énfasis2 2 2" xfId="164"/>
    <cellStyle name="40% - Énfasis2 3" xfId="165"/>
    <cellStyle name="40% - Énfasis3" xfId="166"/>
    <cellStyle name="40% - Énfasis3 2" xfId="167"/>
    <cellStyle name="40% - Énfasis3 2 2" xfId="168"/>
    <cellStyle name="40% - Énfasis3 3" xfId="169"/>
    <cellStyle name="40% - Énfasis4" xfId="170"/>
    <cellStyle name="40% - Énfasis4 2" xfId="171"/>
    <cellStyle name="40% - Énfasis4 2 2" xfId="172"/>
    <cellStyle name="40% - Énfasis4 3" xfId="173"/>
    <cellStyle name="40% - Énfasis5" xfId="174"/>
    <cellStyle name="40% - Énfasis5 2" xfId="175"/>
    <cellStyle name="40% - Énfasis5 2 2" xfId="176"/>
    <cellStyle name="40% - Énfasis5 3" xfId="177"/>
    <cellStyle name="40% - Énfasis6" xfId="178"/>
    <cellStyle name="40% - Énfasis6 2" xfId="179"/>
    <cellStyle name="40% - Énfasis6 2 2" xfId="180"/>
    <cellStyle name="40% - Énfasis6 3" xfId="181"/>
    <cellStyle name="60% - 1. jelölőszín" xfId="182"/>
    <cellStyle name="60% - 1. jelölőszín 2" xfId="183"/>
    <cellStyle name="60% - 2. jelölőszín" xfId="184"/>
    <cellStyle name="60% - 2. jelölőszín 2" xfId="185"/>
    <cellStyle name="60% - 3. jelölőszín" xfId="186"/>
    <cellStyle name="60% - 3. jelölőszín 2" xfId="187"/>
    <cellStyle name="60% - 4. jelölőszín" xfId="188"/>
    <cellStyle name="60% - 4. jelölőszín 2" xfId="189"/>
    <cellStyle name="60% - 5. jelölőszín" xfId="190"/>
    <cellStyle name="60% - 5. jelölőszín 2" xfId="191"/>
    <cellStyle name="60% - 6. jelölőszín" xfId="192"/>
    <cellStyle name="60% - 6. jelölőszín 2" xfId="193"/>
    <cellStyle name="60% - Accent1 2" xfId="194"/>
    <cellStyle name="60% - Accent1 2 2" xfId="195"/>
    <cellStyle name="60% - Accent2 2" xfId="196"/>
    <cellStyle name="60% - Accent2 2 2" xfId="197"/>
    <cellStyle name="60% - Accent3 2" xfId="198"/>
    <cellStyle name="60% - Accent3 2 2" xfId="199"/>
    <cellStyle name="60% - Accent4 2" xfId="200"/>
    <cellStyle name="60% - Accent4 2 2" xfId="201"/>
    <cellStyle name="60% - Accent5 2" xfId="202"/>
    <cellStyle name="60% - Accent5 2 2" xfId="203"/>
    <cellStyle name="60% - Accent6 2" xfId="204"/>
    <cellStyle name="60% - Accent6 2 2" xfId="205"/>
    <cellStyle name="60% - Énfasis1" xfId="206"/>
    <cellStyle name="60% - Énfasis1 2" xfId="207"/>
    <cellStyle name="60% - Énfasis2" xfId="208"/>
    <cellStyle name="60% - Énfasis2 2" xfId="209"/>
    <cellStyle name="60% - Énfasis3" xfId="210"/>
    <cellStyle name="60% - Énfasis3 2" xfId="211"/>
    <cellStyle name="60% - Énfasis4" xfId="212"/>
    <cellStyle name="60% - Énfasis4 2" xfId="213"/>
    <cellStyle name="60% - Énfasis5" xfId="214"/>
    <cellStyle name="60% - Énfasis5 2" xfId="215"/>
    <cellStyle name="60% - Énfasis6" xfId="216"/>
    <cellStyle name="60% - Énfasis6 2" xfId="217"/>
    <cellStyle name="Accent1 2" xfId="218"/>
    <cellStyle name="Accent1 2 2" xfId="219"/>
    <cellStyle name="Accent2 2" xfId="220"/>
    <cellStyle name="Accent2 2 2" xfId="221"/>
    <cellStyle name="Accent3 2" xfId="222"/>
    <cellStyle name="Accent3 2 2" xfId="223"/>
    <cellStyle name="Accent4 2" xfId="224"/>
    <cellStyle name="Accent4 2 2" xfId="225"/>
    <cellStyle name="Accent5 2" xfId="226"/>
    <cellStyle name="Accent5 2 2" xfId="227"/>
    <cellStyle name="Accent6 2" xfId="228"/>
    <cellStyle name="Accent6 2 2" xfId="229"/>
    <cellStyle name="Bad 2" xfId="230"/>
    <cellStyle name="Bad 2 2" xfId="231"/>
    <cellStyle name="Bevitel" xfId="232"/>
    <cellStyle name="Bevitel 2" xfId="233"/>
    <cellStyle name="Buena" xfId="234"/>
    <cellStyle name="Buena 2" xfId="235"/>
    <cellStyle name="Calculation" xfId="236"/>
    <cellStyle name="Calculation 2" xfId="237"/>
    <cellStyle name="Calculation 2 2" xfId="238"/>
    <cellStyle name="Calculation 3" xfId="239"/>
    <cellStyle name="Celda de comprobación" xfId="240"/>
    <cellStyle name="Celda de comprobación 2" xfId="241"/>
    <cellStyle name="Celda vinculada" xfId="242"/>
    <cellStyle name="Celda vinculada 2" xfId="243"/>
    <cellStyle name="cf1" xfId="244"/>
    <cellStyle name="cf1 2" xfId="245"/>
    <cellStyle name="cf2" xfId="246"/>
    <cellStyle name="cf2 2" xfId="247"/>
    <cellStyle name="cf3" xfId="248"/>
    <cellStyle name="Check Cell 2" xfId="249"/>
    <cellStyle name="Check Cell 2 2" xfId="250"/>
    <cellStyle name="checkExposure" xfId="251"/>
    <cellStyle name="checkExposure 2" xfId="252"/>
    <cellStyle name="ColTitre" xfId="253"/>
    <cellStyle name="ColTitre 2" xfId="254"/>
    <cellStyle name="ColTitre 2 2" xfId="255"/>
    <cellStyle name="ColTitre 3" xfId="256"/>
    <cellStyle name="Comma 10" xfId="257"/>
    <cellStyle name="Comma 10 2" xfId="258"/>
    <cellStyle name="Cálculo" xfId="259"/>
    <cellStyle name="Cálculo 2" xfId="260"/>
    <cellStyle name="Cím" xfId="261"/>
    <cellStyle name="Cím 2" xfId="262"/>
    <cellStyle name="Címsor 1" xfId="263"/>
    <cellStyle name="Címsor 1 2" xfId="264"/>
    <cellStyle name="Címsor 2" xfId="265"/>
    <cellStyle name="Címsor 2 2" xfId="266"/>
    <cellStyle name="Címsor 3" xfId="267"/>
    <cellStyle name="Címsor 3 2" xfId="268"/>
    <cellStyle name="Címsor 4" xfId="269"/>
    <cellStyle name="Címsor 4 2" xfId="270"/>
    <cellStyle name="Ellenőrzőcella" xfId="271"/>
    <cellStyle name="Ellenőrzőcella 2" xfId="272"/>
    <cellStyle name="Encabezado 4" xfId="273"/>
    <cellStyle name="Encabezado 4 2" xfId="274"/>
    <cellStyle name="Entrada" xfId="275"/>
    <cellStyle name="Entrada 2" xfId="276"/>
    <cellStyle name="Explanatory Text" xfId="277"/>
    <cellStyle name="Explanatory Text 2" xfId="278"/>
    <cellStyle name="Explanatory Text 2 2" xfId="279"/>
    <cellStyle name="Explanatory Text 3" xfId="280"/>
    <cellStyle name="Figyelmeztetés" xfId="281"/>
    <cellStyle name="Figyelmeztetés 2" xfId="282"/>
    <cellStyle name="Formula0decimals" xfId="283"/>
    <cellStyle name="Formula0decimals 2" xfId="284"/>
    <cellStyle name="Formula0decimals 2 2" xfId="285"/>
    <cellStyle name="Formula0decimals 3" xfId="286"/>
    <cellStyle name="Formula0decimals_Feuil1" xfId="287"/>
    <cellStyle name="Formula1decimal" xfId="288"/>
    <cellStyle name="Formula1decimal 2" xfId="289"/>
    <cellStyle name="Formula1decimal 2 2" xfId="290"/>
    <cellStyle name="Formula1decimal 3" xfId="291"/>
    <cellStyle name="Formula1decimal_Feuil1" xfId="292"/>
    <cellStyle name="Formula2decimals" xfId="293"/>
    <cellStyle name="Formula2decimals 2" xfId="294"/>
    <cellStyle name="Formula4decimals" xfId="295"/>
    <cellStyle name="Formula4decimals 2" xfId="296"/>
    <cellStyle name="Formula4decimals 2 2" xfId="297"/>
    <cellStyle name="Formula4decimals 3" xfId="298"/>
    <cellStyle name="Formula4decimals_Feuil1" xfId="299"/>
    <cellStyle name="FormulaProxy0decimals" xfId="300"/>
    <cellStyle name="FormulaProxy0decimals 2" xfId="301"/>
    <cellStyle name="french - Style1" xfId="302"/>
    <cellStyle name="french - Style1 2" xfId="303"/>
    <cellStyle name="Good 2" xfId="304"/>
    <cellStyle name="Good 2 2" xfId="305"/>
    <cellStyle name="greyed" xfId="306"/>
    <cellStyle name="greyed 2" xfId="307"/>
    <cellStyle name="greyed 2 2" xfId="308"/>
    <cellStyle name="greyed 2 2 2" xfId="309"/>
    <cellStyle name="greyed 2 2 2 2" xfId="310"/>
    <cellStyle name="greyed 2 2 3" xfId="311"/>
    <cellStyle name="greyed 2 3" xfId="312"/>
    <cellStyle name="greyed 2 3 2" xfId="313"/>
    <cellStyle name="greyed 2 4" xfId="314"/>
    <cellStyle name="greyed 3" xfId="315"/>
    <cellStyle name="greyed 3 2" xfId="316"/>
    <cellStyle name="greyed 3 2 2" xfId="317"/>
    <cellStyle name="greyed 3 3" xfId="318"/>
    <cellStyle name="greyed 4" xfId="319"/>
    <cellStyle name="greyed 4 2" xfId="320"/>
    <cellStyle name="greyed 5" xfId="321"/>
    <cellStyle name="greyed 5 2" xfId="322"/>
    <cellStyle name="greyed 6" xfId="323"/>
    <cellStyle name="Heading 1 2" xfId="324"/>
    <cellStyle name="Heading 1 2 2" xfId="325"/>
    <cellStyle name="Heading 1 3" xfId="326"/>
    <cellStyle name="Heading 1 7" xfId="327"/>
    <cellStyle name="Heading 2 2" xfId="328"/>
    <cellStyle name="Heading 2 2 2" xfId="329"/>
    <cellStyle name="Heading 2 3" xfId="330"/>
    <cellStyle name="Heading 2 8" xfId="331"/>
    <cellStyle name="Heading 3" xfId="332"/>
    <cellStyle name="Heading 3 2" xfId="333"/>
    <cellStyle name="Heading 3 2 2" xfId="334"/>
    <cellStyle name="Heading 3 3" xfId="335"/>
    <cellStyle name="Heading 4" xfId="336"/>
    <cellStyle name="Heading 4 2" xfId="337"/>
    <cellStyle name="Heading 4 2 2" xfId="338"/>
    <cellStyle name="Heading 5" xfId="339"/>
    <cellStyle name="Heading 6" xfId="340"/>
    <cellStyle name="Heading Style 1" xfId="341"/>
    <cellStyle name="Heading Style 1 2" xfId="342"/>
    <cellStyle name="Heading Style 1 2 2" xfId="343"/>
    <cellStyle name="Heading Style 1 3" xfId="344"/>
    <cellStyle name="Titre 1" xfId="345"/>
    <cellStyle name="Heading1 1" xfId="346"/>
    <cellStyle name="Heading1 2" xfId="347"/>
    <cellStyle name="Heading1 2 2" xfId="348"/>
    <cellStyle name="Heading1 3" xfId="349"/>
    <cellStyle name="highlightExposure" xfId="350"/>
    <cellStyle name="highlightExposure 2" xfId="351"/>
    <cellStyle name="highlightExposure 2 2" xfId="352"/>
    <cellStyle name="highlightExposure 2 2 2" xfId="353"/>
    <cellStyle name="highlightExposure 2 2 2 2" xfId="354"/>
    <cellStyle name="highlightExposure 2 2 3" xfId="355"/>
    <cellStyle name="highlightExposure 2 3" xfId="356"/>
    <cellStyle name="highlightExposure 2 3 2" xfId="357"/>
    <cellStyle name="highlightExposure 2 4" xfId="358"/>
    <cellStyle name="highlightExposure 3" xfId="359"/>
    <cellStyle name="highlightExposure 3 2" xfId="360"/>
    <cellStyle name="highlightExposure 3 2 2" xfId="361"/>
    <cellStyle name="highlightExposure 3 3" xfId="362"/>
    <cellStyle name="highlightExposure 4" xfId="363"/>
    <cellStyle name="highlightExposure 4 2" xfId="364"/>
    <cellStyle name="highlightExposure 5" xfId="365"/>
    <cellStyle name="highlightExposure 5 2" xfId="366"/>
    <cellStyle name="highlightExposure 6" xfId="367"/>
    <cellStyle name="highlightPD" xfId="368"/>
    <cellStyle name="highlightPD 2" xfId="369"/>
    <cellStyle name="highlightPD 2 2" xfId="370"/>
    <cellStyle name="highlightPD 2 2 2" xfId="371"/>
    <cellStyle name="highlightPD 2 2 2 2" xfId="372"/>
    <cellStyle name="highlightPD 2 2 3" xfId="373"/>
    <cellStyle name="highlightPD 2 3" xfId="374"/>
    <cellStyle name="highlightPD 2 3 2" xfId="375"/>
    <cellStyle name="highlightPD 2 4" xfId="376"/>
    <cellStyle name="highlightPD 3" xfId="377"/>
    <cellStyle name="highlightPD 3 2" xfId="378"/>
    <cellStyle name="highlightPD 3 2 2" xfId="379"/>
    <cellStyle name="highlightPD 3 3" xfId="380"/>
    <cellStyle name="highlightPD 4" xfId="381"/>
    <cellStyle name="highlightPD 4 2" xfId="382"/>
    <cellStyle name="highlightPD 5" xfId="383"/>
    <cellStyle name="highlightPercentage" xfId="384"/>
    <cellStyle name="highlightPercentage 2" xfId="385"/>
    <cellStyle name="highlightPercentage 2 2" xfId="386"/>
    <cellStyle name="highlightPercentage 2 2 2" xfId="387"/>
    <cellStyle name="highlightPercentage 2 2 2 2" xfId="388"/>
    <cellStyle name="highlightPercentage 2 2 3" xfId="389"/>
    <cellStyle name="highlightPercentage 2 3" xfId="390"/>
    <cellStyle name="highlightPercentage 2 3 2" xfId="391"/>
    <cellStyle name="highlightPercentage 2 4" xfId="392"/>
    <cellStyle name="highlightPercentage 3" xfId="393"/>
    <cellStyle name="highlightPercentage 3 2" xfId="394"/>
    <cellStyle name="highlightPercentage 3 2 2" xfId="395"/>
    <cellStyle name="highlightPercentage 3 3" xfId="396"/>
    <cellStyle name="highlightPercentage 4" xfId="397"/>
    <cellStyle name="highlightPercentage 4 2" xfId="398"/>
    <cellStyle name="highlightPercentage 5" xfId="399"/>
    <cellStyle name="highlightText" xfId="400"/>
    <cellStyle name="highlightText 2" xfId="401"/>
    <cellStyle name="highlightText 2 2" xfId="402"/>
    <cellStyle name="highlightText 2 2 2" xfId="403"/>
    <cellStyle name="highlightText 2 2 2 2" xfId="404"/>
    <cellStyle name="highlightText 2 2 3" xfId="405"/>
    <cellStyle name="highlightText 2 3" xfId="406"/>
    <cellStyle name="highlightText 2 3 2" xfId="407"/>
    <cellStyle name="highlightText 2 4" xfId="408"/>
    <cellStyle name="highlightText 3" xfId="409"/>
    <cellStyle name="highlightText 3 2" xfId="410"/>
    <cellStyle name="highlightText 3 2 2" xfId="411"/>
    <cellStyle name="highlightText 3 3" xfId="412"/>
    <cellStyle name="highlightText 4" xfId="413"/>
    <cellStyle name="highlightText 4 2" xfId="414"/>
    <cellStyle name="highlightText 5" xfId="415"/>
    <cellStyle name="highlightText 5 2" xfId="416"/>
    <cellStyle name="highlightText 6" xfId="417"/>
    <cellStyle name="Hipervínculo 2" xfId="418"/>
    <cellStyle name="Hipervínculo 2 2" xfId="419"/>
    <cellStyle name="Hivatkozott cella" xfId="420"/>
    <cellStyle name="Hivatkozott cella 2" xfId="421"/>
    <cellStyle name="HStyle 3" xfId="422"/>
    <cellStyle name="HStyle 3 2" xfId="423"/>
    <cellStyle name="HStyle 3 2 2" xfId="424"/>
    <cellStyle name="HStyle 3 3" xfId="425"/>
    <cellStyle name="HStyle 4" xfId="426"/>
    <cellStyle name="HStyle 4 2" xfId="427"/>
    <cellStyle name="HStyle 4 2 2" xfId="428"/>
    <cellStyle name="HStyle 4 3" xfId="429"/>
    <cellStyle name="Hyperlink 2" xfId="430"/>
    <cellStyle name="Hyperlink 2 2" xfId="431"/>
    <cellStyle name="Hyperlink 3" xfId="432"/>
    <cellStyle name="Hyperlink 3 2" xfId="433"/>
    <cellStyle name="Hyperlink 3 2 2" xfId="434"/>
    <cellStyle name="Hyperlink 3 3" xfId="435"/>
    <cellStyle name="Hyperlink_20090914_1805 Meneau_COREP ON COREP amendments (GSD) + FR" xfId="436"/>
    <cellStyle name="Incorrecto" xfId="437"/>
    <cellStyle name="Incorrecto 2" xfId="438"/>
    <cellStyle name="Input" xfId="439"/>
    <cellStyle name="Input 2" xfId="440"/>
    <cellStyle name="Input 2 2" xfId="441"/>
    <cellStyle name="Input 3" xfId="442"/>
    <cellStyle name="Input0decimals" xfId="443"/>
    <cellStyle name="Input1decimals" xfId="444"/>
    <cellStyle name="Input2decimals" xfId="445"/>
    <cellStyle name="Input4decimals" xfId="446"/>
    <cellStyle name="inputDate" xfId="447"/>
    <cellStyle name="inputDate 2" xfId="448"/>
    <cellStyle name="inputDate 2 2" xfId="449"/>
    <cellStyle name="inputDate 2 2 2" xfId="450"/>
    <cellStyle name="inputDate 2 3" xfId="451"/>
    <cellStyle name="inputDate 3" xfId="452"/>
    <cellStyle name="inputDate 3 2" xfId="453"/>
    <cellStyle name="inputDate 4" xfId="454"/>
    <cellStyle name="inputExposure" xfId="455"/>
    <cellStyle name="inputExposure 2" xfId="456"/>
    <cellStyle name="inputExposure 2 2" xfId="457"/>
    <cellStyle name="inputExposure 2 2 2" xfId="458"/>
    <cellStyle name="inputExposure 2 2 2 2" xfId="459"/>
    <cellStyle name="inputExposure 2 2 3" xfId="460"/>
    <cellStyle name="inputExposure 2 3" xfId="461"/>
    <cellStyle name="inputExposure 2 3 2" xfId="462"/>
    <cellStyle name="inputExposure 2 4" xfId="463"/>
    <cellStyle name="inputExposure 3" xfId="464"/>
    <cellStyle name="inputExposure 3 2" xfId="465"/>
    <cellStyle name="inputExposure 3 2 2" xfId="466"/>
    <cellStyle name="inputExposure 3 3" xfId="467"/>
    <cellStyle name="inputExposure 4" xfId="468"/>
    <cellStyle name="inputExposure 4 2" xfId="469"/>
    <cellStyle name="inputExposure 5" xfId="470"/>
    <cellStyle name="inputExposure 5 2" xfId="471"/>
    <cellStyle name="inputExposure 6" xfId="472"/>
    <cellStyle name="inputMaturity" xfId="473"/>
    <cellStyle name="inputMaturity 2" xfId="474"/>
    <cellStyle name="inputMaturity 2 2" xfId="475"/>
    <cellStyle name="inputMaturity 2 2 2" xfId="476"/>
    <cellStyle name="inputMaturity 2 3" xfId="477"/>
    <cellStyle name="inputMaturity 3" xfId="478"/>
    <cellStyle name="inputMaturity 3 2" xfId="479"/>
    <cellStyle name="inputMaturity 4" xfId="480"/>
    <cellStyle name="inputPD" xfId="481"/>
    <cellStyle name="inputPD 2" xfId="482"/>
    <cellStyle name="inputPD 2 2" xfId="483"/>
    <cellStyle name="inputPD 2 2 2" xfId="484"/>
    <cellStyle name="inputPD 2 2 2 2" xfId="485"/>
    <cellStyle name="inputPD 2 2 3" xfId="486"/>
    <cellStyle name="inputPD 2 3" xfId="487"/>
    <cellStyle name="inputPD 2 3 2" xfId="488"/>
    <cellStyle name="inputPD 2 4" xfId="489"/>
    <cellStyle name="inputPD 3" xfId="490"/>
    <cellStyle name="inputPD 3 2" xfId="491"/>
    <cellStyle name="inputPD 3 2 2" xfId="492"/>
    <cellStyle name="inputPD 3 3" xfId="493"/>
    <cellStyle name="inputPD 4" xfId="494"/>
    <cellStyle name="inputPD 4 2" xfId="495"/>
    <cellStyle name="inputPD 5" xfId="496"/>
    <cellStyle name="inputPercentage" xfId="497"/>
    <cellStyle name="inputPercentage 2" xfId="498"/>
    <cellStyle name="inputPercentage 2 2" xfId="499"/>
    <cellStyle name="inputPercentage 2 2 2" xfId="500"/>
    <cellStyle name="inputPercentage 2 2 2 2" xfId="501"/>
    <cellStyle name="inputPercentage 2 2 3" xfId="502"/>
    <cellStyle name="inputPercentage 2 3" xfId="503"/>
    <cellStyle name="inputPercentage 2 3 2" xfId="504"/>
    <cellStyle name="inputPercentage 2 4" xfId="505"/>
    <cellStyle name="inputPercentage 3" xfId="506"/>
    <cellStyle name="inputPercentage 3 2" xfId="507"/>
    <cellStyle name="inputPercentage 3 2 2" xfId="508"/>
    <cellStyle name="inputPercentage 3 3" xfId="509"/>
    <cellStyle name="inputPercentage 4" xfId="510"/>
    <cellStyle name="inputPercentage 4 2" xfId="511"/>
    <cellStyle name="inputPercentage 5" xfId="512"/>
    <cellStyle name="inputSelection" xfId="513"/>
    <cellStyle name="inputSelection 2" xfId="514"/>
    <cellStyle name="inputSelection 2 2" xfId="515"/>
    <cellStyle name="inputSelection 2 2 2" xfId="516"/>
    <cellStyle name="inputSelection 2 2 2 2" xfId="517"/>
    <cellStyle name="inputSelection 2 2 3" xfId="518"/>
    <cellStyle name="inputSelection 2 3" xfId="519"/>
    <cellStyle name="inputSelection 2 3 2" xfId="520"/>
    <cellStyle name="inputSelection 2 4" xfId="521"/>
    <cellStyle name="inputSelection 3" xfId="522"/>
    <cellStyle name="inputSelection 3 2" xfId="523"/>
    <cellStyle name="inputSelection 3 2 2" xfId="524"/>
    <cellStyle name="inputSelection 3 3" xfId="525"/>
    <cellStyle name="inputSelection 4" xfId="526"/>
    <cellStyle name="inputSelection 4 2" xfId="527"/>
    <cellStyle name="inputSelection 5" xfId="528"/>
    <cellStyle name="inputText" xfId="529"/>
    <cellStyle name="inputText 2" xfId="530"/>
    <cellStyle name="inputText 2 2" xfId="531"/>
    <cellStyle name="inputText 2 2 2" xfId="532"/>
    <cellStyle name="inputText 2 3" xfId="533"/>
    <cellStyle name="inputText 3" xfId="534"/>
    <cellStyle name="inputText 3 2" xfId="535"/>
    <cellStyle name="inputText 4" xfId="536"/>
    <cellStyle name="Jegyzet" xfId="537"/>
    <cellStyle name="Jegyzet 2" xfId="538"/>
    <cellStyle name="Jelölőszín (1)" xfId="539"/>
    <cellStyle name="Jelölőszín (1) 2" xfId="540"/>
    <cellStyle name="Jelölőszín (2)" xfId="541"/>
    <cellStyle name="Jelölőszín (2) 2" xfId="542"/>
    <cellStyle name="Jelölőszín (3)" xfId="543"/>
    <cellStyle name="Jelölőszín (3) 2" xfId="544"/>
    <cellStyle name="Jelölőszín (4)" xfId="545"/>
    <cellStyle name="Jelölőszín (4) 2" xfId="546"/>
    <cellStyle name="Jelölőszín (5)" xfId="547"/>
    <cellStyle name="Jelölőszín (5) 2" xfId="548"/>
    <cellStyle name="Jelölőszín (6)" xfId="549"/>
    <cellStyle name="Jelölőszín (6) 2" xfId="550"/>
    <cellStyle name="Jó" xfId="551"/>
    <cellStyle name="Jó 2" xfId="552"/>
    <cellStyle name="Kimenet" xfId="553"/>
    <cellStyle name="Kimenet 2" xfId="554"/>
    <cellStyle name="land" xfId="555"/>
    <cellStyle name="land 2" xfId="556"/>
    <cellStyle name="land 2 2" xfId="557"/>
    <cellStyle name="land 3" xfId="558"/>
    <cellStyle name="Lien hypertexte 2" xfId="559"/>
    <cellStyle name="Lien hypertexte 2 2" xfId="560"/>
    <cellStyle name="Lien hypertexte 2 2 2" xfId="561"/>
    <cellStyle name="Lien hypertexte 2 3" xfId="562"/>
    <cellStyle name="Lien hypertexte 3" xfId="563"/>
    <cellStyle name="Lien hypertexte 3 2" xfId="564"/>
    <cellStyle name="Linked Cell 2" xfId="565"/>
    <cellStyle name="Linked Cell 2 2" xfId="566"/>
    <cellStyle name="Magyarázó szöveg" xfId="567"/>
    <cellStyle name="Magyarázó szöveg 2" xfId="568"/>
    <cellStyle name="Millares 2" xfId="569"/>
    <cellStyle name="Millares 2 2" xfId="570"/>
    <cellStyle name="Millares 2 2 2" xfId="571"/>
    <cellStyle name="Millares 2 3" xfId="572"/>
    <cellStyle name="Millares 3" xfId="573"/>
    <cellStyle name="Millares 3 2" xfId="574"/>
    <cellStyle name="Millares 3 2 2" xfId="575"/>
    <cellStyle name="Millares 3 3" xfId="576"/>
    <cellStyle name="Milliers 2" xfId="577"/>
    <cellStyle name="Milliers 2 2" xfId="578"/>
    <cellStyle name="Milliers 2 2 2" xfId="579"/>
    <cellStyle name="Milliers 2 2 2 2" xfId="580"/>
    <cellStyle name="Milliers 2 2 2 2 2" xfId="581"/>
    <cellStyle name="Milliers 2 2 2 3" xfId="582"/>
    <cellStyle name="Milliers 2 2 3" xfId="583"/>
    <cellStyle name="Milliers 2 2 3 2" xfId="584"/>
    <cellStyle name="Milliers 2 2 4" xfId="585"/>
    <cellStyle name="Milliers 2 3" xfId="586"/>
    <cellStyle name="Milliers 2 3 2" xfId="587"/>
    <cellStyle name="Milliers 2 3 2 2" xfId="588"/>
    <cellStyle name="Milliers 2 3 3" xfId="589"/>
    <cellStyle name="Milliers 2 4" xfId="590"/>
    <cellStyle name="Milliers 2 4 2" xfId="591"/>
    <cellStyle name="Milliers 2 5" xfId="592"/>
    <cellStyle name="Milliers 2 5 2" xfId="593"/>
    <cellStyle name="Milliers 2 5 2 2" xfId="594"/>
    <cellStyle name="Milliers 2 5 3" xfId="595"/>
    <cellStyle name="Milliers 2 6" xfId="596"/>
    <cellStyle name="Milliers 3" xfId="597"/>
    <cellStyle name="Milliers 3 2" xfId="598"/>
    <cellStyle name="Milliers 3 2 2" xfId="599"/>
    <cellStyle name="Milliers 3 2 2 2" xfId="600"/>
    <cellStyle name="Milliers 3 2 3" xfId="601"/>
    <cellStyle name="Milliers 3 3" xfId="602"/>
    <cellStyle name="Milliers 3 3 2" xfId="603"/>
    <cellStyle name="Milliers 3 4" xfId="604"/>
    <cellStyle name="Milliers 4" xfId="605"/>
    <cellStyle name="Milliers 4 2" xfId="606"/>
    <cellStyle name="Milliers 5" xfId="607"/>
    <cellStyle name="Milliers 5 2" xfId="608"/>
    <cellStyle name="Milliers 6" xfId="609"/>
    <cellStyle name="Milliers 6 2" xfId="610"/>
    <cellStyle name="Milliers 7" xfId="611"/>
    <cellStyle name="Milliers 7 2" xfId="612"/>
    <cellStyle name="Monétaire 2" xfId="613"/>
    <cellStyle name="Monétaire 2 2" xfId="614"/>
    <cellStyle name="Monétaire 2 2 2" xfId="615"/>
    <cellStyle name="Monétaire 2 2 2 2" xfId="616"/>
    <cellStyle name="Monétaire 2 2 3" xfId="617"/>
    <cellStyle name="Monétaire 2 3" xfId="618"/>
    <cellStyle name="Monétaire 2 3 2" xfId="619"/>
    <cellStyle name="Monétaire 2 4" xfId="620"/>
    <cellStyle name="Monétaire 3" xfId="621"/>
    <cellStyle name="Monétaire 3 2" xfId="622"/>
    <cellStyle name="Navadno_List1" xfId="623"/>
    <cellStyle name="Neutral 2" xfId="624"/>
    <cellStyle name="Neutral 2 2" xfId="625"/>
    <cellStyle name="Normal 10" xfId="626"/>
    <cellStyle name="Normal 10 2" xfId="627"/>
    <cellStyle name="Normal 11" xfId="628"/>
    <cellStyle name="Normal 11 2" xfId="629"/>
    <cellStyle name="Normal 12" xfId="630"/>
    <cellStyle name="Normal 12 2" xfId="631"/>
    <cellStyle name="Normal 13" xfId="632"/>
    <cellStyle name="Normal 13 2" xfId="633"/>
    <cellStyle name="Normal 14" xfId="634"/>
    <cellStyle name="Normal 2" xfId="635"/>
    <cellStyle name="Normal 2 2" xfId="636"/>
    <cellStyle name="Normal 2 2 2" xfId="637"/>
    <cellStyle name="Normal 2 2 2 2" xfId="638"/>
    <cellStyle name="Normal 2 2 3" xfId="639"/>
    <cellStyle name="Normal 2 2 3 2" xfId="640"/>
    <cellStyle name="Normal 2 2 3 2 2" xfId="641"/>
    <cellStyle name="Normal 2 2 3 3" xfId="642"/>
    <cellStyle name="Normal 2 2 4" xfId="643"/>
    <cellStyle name="Normal 2 2_COREP GL04rev3" xfId="644"/>
    <cellStyle name="Normal 2 3" xfId="645"/>
    <cellStyle name="Normal 2 3 2" xfId="646"/>
    <cellStyle name="Normal 2 3 2 2" xfId="647"/>
    <cellStyle name="Normal 2 3 3" xfId="648"/>
    <cellStyle name="Normal 2 4" xfId="649"/>
    <cellStyle name="Normal 2 5" xfId="650"/>
    <cellStyle name="Normal 2 5 2" xfId="651"/>
    <cellStyle name="Normal 2 6" xfId="652"/>
    <cellStyle name="Normal 2_~0149226" xfId="653"/>
    <cellStyle name="Normal 3" xfId="654"/>
    <cellStyle name="Normal 3 2" xfId="655"/>
    <cellStyle name="Normal 3 2 2" xfId="656"/>
    <cellStyle name="Normal 3 2 2 2" xfId="657"/>
    <cellStyle name="Normal 3 2 3" xfId="658"/>
    <cellStyle name="Normal 3 3" xfId="659"/>
    <cellStyle name="Normal 3 3 2" xfId="660"/>
    <cellStyle name="Normal 3 4" xfId="661"/>
    <cellStyle name="Normal 3 4 2" xfId="662"/>
    <cellStyle name="Normal 3 4 2 2" xfId="663"/>
    <cellStyle name="Normal 3 4 3" xfId="664"/>
    <cellStyle name="Normal 3 5" xfId="665"/>
    <cellStyle name="Normal 3 5 2" xfId="666"/>
    <cellStyle name="Normal 3 6" xfId="667"/>
    <cellStyle name="Normal 3 6 2" xfId="668"/>
    <cellStyle name="Normal 3 7" xfId="669"/>
    <cellStyle name="Normal 3_~1520012" xfId="670"/>
    <cellStyle name="Normal 4" xfId="671"/>
    <cellStyle name="Normal 4 2" xfId="672"/>
    <cellStyle name="Normal 4 2 2" xfId="673"/>
    <cellStyle name="Normal 4 2 2 2" xfId="674"/>
    <cellStyle name="Normal 4 2 3" xfId="675"/>
    <cellStyle name="Normal 4 3" xfId="676"/>
    <cellStyle name="Normal 4 3 2" xfId="677"/>
    <cellStyle name="Normal 4 4" xfId="678"/>
    <cellStyle name="Normal 5" xfId="679"/>
    <cellStyle name="Normal 5 2" xfId="680"/>
    <cellStyle name="Normal 5 2 2" xfId="681"/>
    <cellStyle name="Normal 5 3" xfId="682"/>
    <cellStyle name="Normal 5 3 2" xfId="683"/>
    <cellStyle name="Normal 5 4" xfId="684"/>
    <cellStyle name="Normal 5_20130128_ITS on reporting_Annex I_CA" xfId="685"/>
    <cellStyle name="Normal 6" xfId="686"/>
    <cellStyle name="Normal 6 2" xfId="687"/>
    <cellStyle name="Normal 6 2 2" xfId="688"/>
    <cellStyle name="Normal 6 3" xfId="689"/>
    <cellStyle name="Normal 7" xfId="690"/>
    <cellStyle name="Normal 7 2" xfId="691"/>
    <cellStyle name="Normal 7 2 2" xfId="692"/>
    <cellStyle name="Normal 7 2 2 2" xfId="693"/>
    <cellStyle name="Normal 7 2 3" xfId="694"/>
    <cellStyle name="Normal 7 2 3 2" xfId="695"/>
    <cellStyle name="Normal 7 2 4" xfId="696"/>
    <cellStyle name="Normal 7 3" xfId="697"/>
    <cellStyle name="Normal 7 3 2" xfId="698"/>
    <cellStyle name="Normal 7 4" xfId="699"/>
    <cellStyle name="Normal 7 4 2" xfId="700"/>
    <cellStyle name="Normal 7 5" xfId="701"/>
    <cellStyle name="Normal 7 5 2" xfId="702"/>
    <cellStyle name="Normal 7 6" xfId="703"/>
    <cellStyle name="Normal 8" xfId="704"/>
    <cellStyle name="Normal 8 2" xfId="705"/>
    <cellStyle name="Normal 8 2 2" xfId="706"/>
    <cellStyle name="Normal 8 3" xfId="707"/>
    <cellStyle name="Normal 9" xfId="708"/>
    <cellStyle name="Normal 9 2" xfId="709"/>
    <cellStyle name="Normal_19 OPR LOSS" xfId="710"/>
    <cellStyle name="Normal_20 OPR" xfId="711"/>
    <cellStyle name="Normal_DEC 2064" xfId="712"/>
    <cellStyle name="Normal_DEC 2066" xfId="713"/>
    <cellStyle name="Normal_FCCOVER" xfId="714"/>
    <cellStyle name="Normale_2011 04 14 Templates for stress test_bcl" xfId="715"/>
    <cellStyle name="Notas" xfId="716"/>
    <cellStyle name="Notas 2" xfId="717"/>
    <cellStyle name="Note 2" xfId="718"/>
    <cellStyle name="Note 2 2" xfId="719"/>
    <cellStyle name="NumTexte" xfId="720"/>
    <cellStyle name="NumTexte 2" xfId="721"/>
    <cellStyle name="NumTexte 2 2" xfId="722"/>
    <cellStyle name="NumTexte 3" xfId="723"/>
    <cellStyle name="optionalExposure" xfId="724"/>
    <cellStyle name="optionalExposure 2" xfId="725"/>
    <cellStyle name="optionalExposure 2 2" xfId="726"/>
    <cellStyle name="optionalExposure 2 2 2" xfId="727"/>
    <cellStyle name="optionalExposure 2 2 2 2" xfId="728"/>
    <cellStyle name="optionalExposure 2 2 3" xfId="729"/>
    <cellStyle name="optionalExposure 2 3" xfId="730"/>
    <cellStyle name="optionalExposure 2 3 2" xfId="731"/>
    <cellStyle name="optionalExposure 2 4" xfId="732"/>
    <cellStyle name="optionalExposure 3" xfId="733"/>
    <cellStyle name="optionalExposure 3 2" xfId="734"/>
    <cellStyle name="optionalExposure 3 2 2" xfId="735"/>
    <cellStyle name="optionalExposure 3 3" xfId="736"/>
    <cellStyle name="optionalExposure 4" xfId="737"/>
    <cellStyle name="optionalExposure 4 2" xfId="738"/>
    <cellStyle name="optionalExposure 5" xfId="739"/>
    <cellStyle name="optionalMaturity" xfId="740"/>
    <cellStyle name="optionalMaturity 2" xfId="741"/>
    <cellStyle name="optionalMaturity 2 2" xfId="742"/>
    <cellStyle name="optionalMaturity 2 2 2" xfId="743"/>
    <cellStyle name="optionalMaturity 2 3" xfId="744"/>
    <cellStyle name="optionalMaturity 3" xfId="745"/>
    <cellStyle name="optionalMaturity 3 2" xfId="746"/>
    <cellStyle name="optionalMaturity 4" xfId="747"/>
    <cellStyle name="optionalPD" xfId="748"/>
    <cellStyle name="optionalPD 2" xfId="749"/>
    <cellStyle name="optionalPD 2 2" xfId="750"/>
    <cellStyle name="optionalPD 2 2 2" xfId="751"/>
    <cellStyle name="optionalPD 2 2 2 2" xfId="752"/>
    <cellStyle name="optionalPD 2 2 3" xfId="753"/>
    <cellStyle name="optionalPD 2 3" xfId="754"/>
    <cellStyle name="optionalPD 2 3 2" xfId="755"/>
    <cellStyle name="optionalPD 2 4" xfId="756"/>
    <cellStyle name="optionalPD 3" xfId="757"/>
    <cellStyle name="optionalPD 3 2" xfId="758"/>
    <cellStyle name="optionalPD 3 2 2" xfId="759"/>
    <cellStyle name="optionalPD 3 3" xfId="760"/>
    <cellStyle name="optionalPD 4" xfId="761"/>
    <cellStyle name="optionalPD 4 2" xfId="762"/>
    <cellStyle name="optionalPD 5" xfId="763"/>
    <cellStyle name="optionalPercentage" xfId="764"/>
    <cellStyle name="optionalPercentage 2" xfId="765"/>
    <cellStyle name="optionalPercentage 2 2" xfId="766"/>
    <cellStyle name="optionalPercentage 2 2 2" xfId="767"/>
    <cellStyle name="optionalPercentage 2 2 2 2" xfId="768"/>
    <cellStyle name="optionalPercentage 2 2 3" xfId="769"/>
    <cellStyle name="optionalPercentage 2 3" xfId="770"/>
    <cellStyle name="optionalPercentage 2 3 2" xfId="771"/>
    <cellStyle name="optionalPercentage 2 4" xfId="772"/>
    <cellStyle name="optionalPercentage 3" xfId="773"/>
    <cellStyle name="optionalPercentage 3 2" xfId="774"/>
    <cellStyle name="optionalPercentage 3 2 2" xfId="775"/>
    <cellStyle name="optionalPercentage 3 3" xfId="776"/>
    <cellStyle name="optionalPercentage 4" xfId="777"/>
    <cellStyle name="optionalPercentage 4 2" xfId="778"/>
    <cellStyle name="optionalPercentage 5" xfId="779"/>
    <cellStyle name="optionalSelection" xfId="780"/>
    <cellStyle name="optionalSelection 2" xfId="781"/>
    <cellStyle name="optionalSelection 2 2" xfId="782"/>
    <cellStyle name="optionalSelection 2 2 2" xfId="783"/>
    <cellStyle name="optionalSelection 2 2 2 2" xfId="784"/>
    <cellStyle name="optionalSelection 2 2 3" xfId="785"/>
    <cellStyle name="optionalSelection 2 3" xfId="786"/>
    <cellStyle name="optionalSelection 2 3 2" xfId="787"/>
    <cellStyle name="optionalSelection 2 4" xfId="788"/>
    <cellStyle name="optionalSelection 3" xfId="789"/>
    <cellStyle name="optionalSelection 3 2" xfId="790"/>
    <cellStyle name="optionalSelection 3 2 2" xfId="791"/>
    <cellStyle name="optionalSelection 3 3" xfId="792"/>
    <cellStyle name="optionalSelection 4" xfId="793"/>
    <cellStyle name="optionalSelection 4 2" xfId="794"/>
    <cellStyle name="optionalSelection 5" xfId="795"/>
    <cellStyle name="optionalText" xfId="796"/>
    <cellStyle name="optionalText 2" xfId="797"/>
    <cellStyle name="optionalText 2 2" xfId="798"/>
    <cellStyle name="optionalText 2 2 2" xfId="799"/>
    <cellStyle name="optionalText 2 2 2 2" xfId="800"/>
    <cellStyle name="optionalText 2 2 3" xfId="801"/>
    <cellStyle name="optionalText 2 3" xfId="802"/>
    <cellStyle name="optionalText 2 3 2" xfId="803"/>
    <cellStyle name="optionalText 2 4" xfId="804"/>
    <cellStyle name="optionalText 3" xfId="805"/>
    <cellStyle name="optionalText 3 2" xfId="806"/>
    <cellStyle name="optionalText 3 2 2" xfId="807"/>
    <cellStyle name="optionalText 3 3" xfId="808"/>
    <cellStyle name="optionalText 4" xfId="809"/>
    <cellStyle name="optionalText 4 2" xfId="810"/>
    <cellStyle name="optionalText 5" xfId="811"/>
    <cellStyle name="Output" xfId="812"/>
    <cellStyle name="Output 2" xfId="813"/>
    <cellStyle name="Output 2 2" xfId="814"/>
    <cellStyle name="Output 3" xfId="815"/>
    <cellStyle name="Percent 2" xfId="816"/>
    <cellStyle name="Percent 2 2" xfId="817"/>
    <cellStyle name="Porcentual 2" xfId="818"/>
    <cellStyle name="Porcentual 2 2" xfId="819"/>
    <cellStyle name="Porcentual 2 2 2" xfId="820"/>
    <cellStyle name="Porcentual 2 2 2 2" xfId="821"/>
    <cellStyle name="Porcentual 2 2 3" xfId="822"/>
    <cellStyle name="Porcentual 2 3" xfId="823"/>
    <cellStyle name="Porcentual 2 3 2" xfId="824"/>
    <cellStyle name="Porcentual 2 4" xfId="825"/>
    <cellStyle name="Pourcentage 2" xfId="826"/>
    <cellStyle name="Pourcentage 2 2" xfId="827"/>
    <cellStyle name="Pourcentage 2 2 2" xfId="828"/>
    <cellStyle name="Pourcentage 2 2 2 2" xfId="829"/>
    <cellStyle name="Pourcentage 2 2 2 2 2" xfId="830"/>
    <cellStyle name="Pourcentage 2 2 2 3" xfId="831"/>
    <cellStyle name="Pourcentage 2 2 3" xfId="832"/>
    <cellStyle name="Pourcentage 2 2 3 2" xfId="833"/>
    <cellStyle name="Pourcentage 2 2 4" xfId="834"/>
    <cellStyle name="Pourcentage 2 3" xfId="835"/>
    <cellStyle name="Pourcentage 2 3 2" xfId="836"/>
    <cellStyle name="Pourcentage 2 3 2 2" xfId="837"/>
    <cellStyle name="Pourcentage 2 3 3" xfId="838"/>
    <cellStyle name="Pourcentage 2 4" xfId="839"/>
    <cellStyle name="Pourcentage 2 4 2" xfId="840"/>
    <cellStyle name="Pourcentage 2 5" xfId="841"/>
    <cellStyle name="Pourcentage 2 5 2" xfId="842"/>
    <cellStyle name="Pourcentage 2 5 2 2" xfId="843"/>
    <cellStyle name="Pourcentage 2 5 3" xfId="844"/>
    <cellStyle name="Pourcentage 2 6" xfId="845"/>
    <cellStyle name="Pourcentage 3" xfId="846"/>
    <cellStyle name="Pourcentage 3 2" xfId="847"/>
    <cellStyle name="Pourcentage 3 2 2" xfId="848"/>
    <cellStyle name="Pourcentage 3 2 2 2" xfId="849"/>
    <cellStyle name="Pourcentage 3 2 3" xfId="850"/>
    <cellStyle name="Pourcentage 3 3" xfId="851"/>
    <cellStyle name="Pourcentage 3 3 2" xfId="852"/>
    <cellStyle name="Pourcentage 3 4" xfId="853"/>
    <cellStyle name="Pourcentage 4" xfId="854"/>
    <cellStyle name="Pourcentage 4 2" xfId="855"/>
    <cellStyle name="Pourcentage 5" xfId="856"/>
    <cellStyle name="Pourcentage 5 2" xfId="857"/>
    <cellStyle name="Pourcentage 6" xfId="858"/>
    <cellStyle name="Pourcentage 6 2" xfId="859"/>
    <cellStyle name="Pourcentage 7" xfId="860"/>
    <cellStyle name="Pourcentage 7 2" xfId="861"/>
    <cellStyle name="Prozent 2" xfId="862"/>
    <cellStyle name="Prozent 2 2" xfId="863"/>
    <cellStyle name="Prozent 2 2 2" xfId="864"/>
    <cellStyle name="Prozent 2 3" xfId="865"/>
    <cellStyle name="Result 1" xfId="866"/>
    <cellStyle name="Result 2" xfId="867"/>
    <cellStyle name="Result 2 2" xfId="868"/>
    <cellStyle name="Result 3" xfId="869"/>
    <cellStyle name="Result 9" xfId="870"/>
    <cellStyle name="Résultat2" xfId="871"/>
    <cellStyle name="Result2 1" xfId="872"/>
    <cellStyle name="Result2 2" xfId="873"/>
    <cellStyle name="Result2 2 2" xfId="874"/>
    <cellStyle name="Result2 3" xfId="875"/>
    <cellStyle name="Rossz" xfId="876"/>
    <cellStyle name="Rossz 2" xfId="877"/>
    <cellStyle name="Salida" xfId="878"/>
    <cellStyle name="Salida 2" xfId="879"/>
    <cellStyle name="Semleges" xfId="880"/>
    <cellStyle name="Semleges 2" xfId="881"/>
    <cellStyle name="showExposure" xfId="882"/>
    <cellStyle name="showExposure 2" xfId="883"/>
    <cellStyle name="showExposure 2 2" xfId="884"/>
    <cellStyle name="showExposure 2 2 2" xfId="885"/>
    <cellStyle name="showExposure 2 2 2 2" xfId="886"/>
    <cellStyle name="showExposure 2 2 3" xfId="887"/>
    <cellStyle name="showExposure 2 3" xfId="888"/>
    <cellStyle name="showExposure 2 3 2" xfId="889"/>
    <cellStyle name="showExposure 2 4" xfId="890"/>
    <cellStyle name="showExposure 3" xfId="891"/>
    <cellStyle name="showExposure 3 2" xfId="892"/>
    <cellStyle name="showExposure 3 2 2" xfId="893"/>
    <cellStyle name="showExposure 3 3" xfId="894"/>
    <cellStyle name="showExposure 4" xfId="895"/>
    <cellStyle name="showExposure 4 2" xfId="896"/>
    <cellStyle name="showExposure 5" xfId="897"/>
    <cellStyle name="showExposure 5 2" xfId="898"/>
    <cellStyle name="showExposure 6" xfId="899"/>
    <cellStyle name="showParameterE" xfId="900"/>
    <cellStyle name="showParameterE 2" xfId="901"/>
    <cellStyle name="showParameterE 2 2" xfId="902"/>
    <cellStyle name="showParameterE 2 2 2" xfId="903"/>
    <cellStyle name="showParameterE 2 2 2 2" xfId="904"/>
    <cellStyle name="showParameterE 2 2 3" xfId="905"/>
    <cellStyle name="showParameterE 2 3" xfId="906"/>
    <cellStyle name="showParameterE 2 3 2" xfId="907"/>
    <cellStyle name="showParameterE 2 4" xfId="908"/>
    <cellStyle name="showParameterE 3" xfId="909"/>
    <cellStyle name="showParameterE 3 2" xfId="910"/>
    <cellStyle name="showParameterE 3 2 2" xfId="911"/>
    <cellStyle name="showParameterE 3 3" xfId="912"/>
    <cellStyle name="showParameterE 4" xfId="913"/>
    <cellStyle name="showParameterE 4 2" xfId="914"/>
    <cellStyle name="showParameterE 5" xfId="915"/>
    <cellStyle name="showParameterS" xfId="916"/>
    <cellStyle name="showParameterS 2" xfId="917"/>
    <cellStyle name="showParameterS 2 2" xfId="918"/>
    <cellStyle name="showParameterS 2 2 2" xfId="919"/>
    <cellStyle name="showParameterS 2 2 2 2" xfId="920"/>
    <cellStyle name="showParameterS 2 2 3" xfId="921"/>
    <cellStyle name="showParameterS 2 3" xfId="922"/>
    <cellStyle name="showParameterS 2 3 2" xfId="923"/>
    <cellStyle name="showParameterS 2 4" xfId="924"/>
    <cellStyle name="showParameterS 3" xfId="925"/>
    <cellStyle name="showParameterS 3 2" xfId="926"/>
    <cellStyle name="showParameterS 3 2 2" xfId="927"/>
    <cellStyle name="showParameterS 3 3" xfId="928"/>
    <cellStyle name="showParameterS 4" xfId="929"/>
    <cellStyle name="showParameterS 4 2" xfId="930"/>
    <cellStyle name="showParameterS 5" xfId="931"/>
    <cellStyle name="showPD" xfId="932"/>
    <cellStyle name="showPD 2" xfId="933"/>
    <cellStyle name="showPD 2 2" xfId="934"/>
    <cellStyle name="showPD 2 2 2" xfId="935"/>
    <cellStyle name="showPD 2 2 2 2" xfId="936"/>
    <cellStyle name="showPD 2 2 3" xfId="937"/>
    <cellStyle name="showPD 2 3" xfId="938"/>
    <cellStyle name="showPD 2 3 2" xfId="939"/>
    <cellStyle name="showPD 2 4" xfId="940"/>
    <cellStyle name="showPD 3" xfId="941"/>
    <cellStyle name="showPD 3 2" xfId="942"/>
    <cellStyle name="showPD 3 2 2" xfId="943"/>
    <cellStyle name="showPD 3 3" xfId="944"/>
    <cellStyle name="showPD 4" xfId="945"/>
    <cellStyle name="showPD 4 2" xfId="946"/>
    <cellStyle name="showPD 5" xfId="947"/>
    <cellStyle name="showPercentage" xfId="948"/>
    <cellStyle name="showPercentage 2" xfId="949"/>
    <cellStyle name="showPercentage 2 2" xfId="950"/>
    <cellStyle name="showPercentage 2 2 2" xfId="951"/>
    <cellStyle name="showPercentage 2 2 2 2" xfId="952"/>
    <cellStyle name="showPercentage 2 2 3" xfId="953"/>
    <cellStyle name="showPercentage 2 3" xfId="954"/>
    <cellStyle name="showPercentage 2 3 2" xfId="955"/>
    <cellStyle name="showPercentage 2 4" xfId="956"/>
    <cellStyle name="showPercentage 3" xfId="957"/>
    <cellStyle name="showPercentage 3 2" xfId="958"/>
    <cellStyle name="showPercentage 3 2 2" xfId="959"/>
    <cellStyle name="showPercentage 3 3" xfId="960"/>
    <cellStyle name="showPercentage 4" xfId="961"/>
    <cellStyle name="showPercentage 4 2" xfId="962"/>
    <cellStyle name="showPercentage 5" xfId="963"/>
    <cellStyle name="showSelection" xfId="964"/>
    <cellStyle name="showSelection 2" xfId="965"/>
    <cellStyle name="showSelection 2 2" xfId="966"/>
    <cellStyle name="showSelection 2 2 2" xfId="967"/>
    <cellStyle name="showSelection 2 2 2 2" xfId="968"/>
    <cellStyle name="showSelection 2 2 3" xfId="969"/>
    <cellStyle name="showSelection 2 3" xfId="970"/>
    <cellStyle name="showSelection 2 3 2" xfId="971"/>
    <cellStyle name="showSelection 2 4" xfId="972"/>
    <cellStyle name="showSelection 3" xfId="973"/>
    <cellStyle name="showSelection 3 2" xfId="974"/>
    <cellStyle name="showSelection 3 2 2" xfId="975"/>
    <cellStyle name="showSelection 3 3" xfId="976"/>
    <cellStyle name="showSelection 4" xfId="977"/>
    <cellStyle name="showSelection 4 2" xfId="978"/>
    <cellStyle name="showSelection 5" xfId="979"/>
    <cellStyle name="Standard 2" xfId="980"/>
    <cellStyle name="Standard 2 2" xfId="981"/>
    <cellStyle name="Standard 3" xfId="982"/>
    <cellStyle name="Standard 3 2" xfId="983"/>
    <cellStyle name="Standard 3 2 2" xfId="984"/>
    <cellStyle name="Standard 3 2 2 2" xfId="985"/>
    <cellStyle name="Standard 3 2 3" xfId="986"/>
    <cellStyle name="Standard 3 3" xfId="987"/>
    <cellStyle name="Standard 4" xfId="988"/>
    <cellStyle name="Standard 4 2" xfId="989"/>
    <cellStyle name="Standard_20100129_1559 Jentsch_COREP ON 20100129 COREP preliminary proposal_CR SA" xfId="990"/>
    <cellStyle name="STYL0 - Style1" xfId="991"/>
    <cellStyle name="STYL0 - Style1 2" xfId="992"/>
    <cellStyle name="STYL1 - Style2" xfId="993"/>
    <cellStyle name="STYL1 - Style2 2" xfId="994"/>
    <cellStyle name="STYL2 - Style3" xfId="995"/>
    <cellStyle name="STYL2 - Style3 2" xfId="996"/>
    <cellStyle name="STYL3 - Style4" xfId="997"/>
    <cellStyle name="STYL3 - Style4 2" xfId="998"/>
    <cellStyle name="STYL4 - Style5" xfId="999"/>
    <cellStyle name="STYL4 - Style5 2" xfId="1000"/>
    <cellStyle name="STYL5 - Style6" xfId="1001"/>
    <cellStyle name="STYL5 - Style6 2" xfId="1002"/>
    <cellStyle name="STYL6 - Style7" xfId="1003"/>
    <cellStyle name="STYL6 - Style7 2" xfId="1004"/>
    <cellStyle name="STYL7 - Style8" xfId="1005"/>
    <cellStyle name="STYL7 - Style8 2" xfId="1006"/>
    <cellStyle name="supFloat" xfId="1007"/>
    <cellStyle name="supFloat 2" xfId="1008"/>
    <cellStyle name="supFloat 2 2" xfId="1009"/>
    <cellStyle name="supFloat 2 2 2" xfId="1010"/>
    <cellStyle name="supFloat 2 2 2 2" xfId="1011"/>
    <cellStyle name="supFloat 2 2 3" xfId="1012"/>
    <cellStyle name="supFloat 2 3" xfId="1013"/>
    <cellStyle name="supFloat 2 3 2" xfId="1014"/>
    <cellStyle name="supFloat 2 4" xfId="1015"/>
    <cellStyle name="supFloat 3" xfId="1016"/>
    <cellStyle name="supFloat 3 2" xfId="1017"/>
    <cellStyle name="supFloat 3 2 2" xfId="1018"/>
    <cellStyle name="supFloat 3 3" xfId="1019"/>
    <cellStyle name="supFloat 4" xfId="1020"/>
    <cellStyle name="supFloat 4 2" xfId="1021"/>
    <cellStyle name="supFloat 5" xfId="1022"/>
    <cellStyle name="supInt" xfId="1023"/>
    <cellStyle name="supInt 2" xfId="1024"/>
    <cellStyle name="supInt 2 2" xfId="1025"/>
    <cellStyle name="supInt 2 2 2" xfId="1026"/>
    <cellStyle name="supInt 2 2 2 2" xfId="1027"/>
    <cellStyle name="supInt 2 2 3" xfId="1028"/>
    <cellStyle name="supInt 2 3" xfId="1029"/>
    <cellStyle name="supInt 2 3 2" xfId="1030"/>
    <cellStyle name="supInt 2 4" xfId="1031"/>
    <cellStyle name="supInt 3" xfId="1032"/>
    <cellStyle name="supInt 3 2" xfId="1033"/>
    <cellStyle name="supInt 3 2 2" xfId="1034"/>
    <cellStyle name="supInt 3 3" xfId="1035"/>
    <cellStyle name="supInt 4" xfId="1036"/>
    <cellStyle name="supInt 4 2" xfId="1037"/>
    <cellStyle name="supInt 5" xfId="1038"/>
    <cellStyle name="supParameterE" xfId="1039"/>
    <cellStyle name="supParameterE 2" xfId="1040"/>
    <cellStyle name="supParameterE 2 2" xfId="1041"/>
    <cellStyle name="supParameterE 2 2 2" xfId="1042"/>
    <cellStyle name="supParameterE 2 2 2 2" xfId="1043"/>
    <cellStyle name="supParameterE 2 2 3" xfId="1044"/>
    <cellStyle name="supParameterE 2 3" xfId="1045"/>
    <cellStyle name="supParameterE 2 3 2" xfId="1046"/>
    <cellStyle name="supParameterE 2 4" xfId="1047"/>
    <cellStyle name="supParameterE 3" xfId="1048"/>
    <cellStyle name="supParameterE 3 2" xfId="1049"/>
    <cellStyle name="supParameterE 3 2 2" xfId="1050"/>
    <cellStyle name="supParameterE 3 3" xfId="1051"/>
    <cellStyle name="supParameterE 4" xfId="1052"/>
    <cellStyle name="supParameterE 4 2" xfId="1053"/>
    <cellStyle name="supParameterE 5" xfId="1054"/>
    <cellStyle name="supParameterS" xfId="1055"/>
    <cellStyle name="supParameterS 2" xfId="1056"/>
    <cellStyle name="supParameterS 2 2" xfId="1057"/>
    <cellStyle name="supParameterS 2 2 2" xfId="1058"/>
    <cellStyle name="supParameterS 2 2 2 2" xfId="1059"/>
    <cellStyle name="supParameterS 2 2 3" xfId="1060"/>
    <cellStyle name="supParameterS 2 3" xfId="1061"/>
    <cellStyle name="supParameterS 2 3 2" xfId="1062"/>
    <cellStyle name="supParameterS 2 4" xfId="1063"/>
    <cellStyle name="supParameterS 3" xfId="1064"/>
    <cellStyle name="supParameterS 3 2" xfId="1065"/>
    <cellStyle name="supParameterS 3 2 2" xfId="1066"/>
    <cellStyle name="supParameterS 3 3" xfId="1067"/>
    <cellStyle name="supParameterS 4" xfId="1068"/>
    <cellStyle name="supParameterS 4 2" xfId="1069"/>
    <cellStyle name="supParameterS 5" xfId="1070"/>
    <cellStyle name="supPD" xfId="1071"/>
    <cellStyle name="supPD 2" xfId="1072"/>
    <cellStyle name="supPD 2 2" xfId="1073"/>
    <cellStyle name="supPD 2 2 2" xfId="1074"/>
    <cellStyle name="supPD 2 2 2 2" xfId="1075"/>
    <cellStyle name="supPD 2 2 3" xfId="1076"/>
    <cellStyle name="supPD 2 3" xfId="1077"/>
    <cellStyle name="supPD 2 3 2" xfId="1078"/>
    <cellStyle name="supPD 2 4" xfId="1079"/>
    <cellStyle name="supPD 3" xfId="1080"/>
    <cellStyle name="supPD 3 2" xfId="1081"/>
    <cellStyle name="supPD 3 2 2" xfId="1082"/>
    <cellStyle name="supPD 3 3" xfId="1083"/>
    <cellStyle name="supPD 4" xfId="1084"/>
    <cellStyle name="supPD 4 2" xfId="1085"/>
    <cellStyle name="supPD 5" xfId="1086"/>
    <cellStyle name="supPercentage" xfId="1087"/>
    <cellStyle name="supPercentage 2" xfId="1088"/>
    <cellStyle name="supPercentage 2 2" xfId="1089"/>
    <cellStyle name="supPercentage 2 2 2" xfId="1090"/>
    <cellStyle name="supPercentage 2 2 2 2" xfId="1091"/>
    <cellStyle name="supPercentage 2 2 3" xfId="1092"/>
    <cellStyle name="supPercentage 2 3" xfId="1093"/>
    <cellStyle name="supPercentage 2 3 2" xfId="1094"/>
    <cellStyle name="supPercentage 2 4" xfId="1095"/>
    <cellStyle name="supPercentage 3" xfId="1096"/>
    <cellStyle name="supPercentage 3 2" xfId="1097"/>
    <cellStyle name="supPercentage 3 2 2" xfId="1098"/>
    <cellStyle name="supPercentage 3 3" xfId="1099"/>
    <cellStyle name="supPercentage 4" xfId="1100"/>
    <cellStyle name="supPercentage 4 2" xfId="1101"/>
    <cellStyle name="supPercentage 5" xfId="1102"/>
    <cellStyle name="supPercentageL" xfId="1103"/>
    <cellStyle name="supPercentageL 2" xfId="1104"/>
    <cellStyle name="supPercentageL 2 2" xfId="1105"/>
    <cellStyle name="supPercentageL 2 2 2" xfId="1106"/>
    <cellStyle name="supPercentageL 2 2 2 2" xfId="1107"/>
    <cellStyle name="supPercentageL 2 2 3" xfId="1108"/>
    <cellStyle name="supPercentageL 2 3" xfId="1109"/>
    <cellStyle name="supPercentageL 2 3 2" xfId="1110"/>
    <cellStyle name="supPercentageL 2 4" xfId="1111"/>
    <cellStyle name="supPercentageL 3" xfId="1112"/>
    <cellStyle name="supPercentageL 3 2" xfId="1113"/>
    <cellStyle name="supPercentageL 3 2 2" xfId="1114"/>
    <cellStyle name="supPercentageL 3 3" xfId="1115"/>
    <cellStyle name="supPercentageL 4" xfId="1116"/>
    <cellStyle name="supPercentageL 4 2" xfId="1117"/>
    <cellStyle name="supPercentageL 5" xfId="1118"/>
    <cellStyle name="supSelection" xfId="1119"/>
    <cellStyle name="supSelection 2" xfId="1120"/>
    <cellStyle name="supSelection 2 2" xfId="1121"/>
    <cellStyle name="supSelection 2 2 2" xfId="1122"/>
    <cellStyle name="supSelection 2 2 2 2" xfId="1123"/>
    <cellStyle name="supSelection 2 2 3" xfId="1124"/>
    <cellStyle name="supSelection 2 3" xfId="1125"/>
    <cellStyle name="supSelection 2 3 2" xfId="1126"/>
    <cellStyle name="supSelection 2 4" xfId="1127"/>
    <cellStyle name="supSelection 3" xfId="1128"/>
    <cellStyle name="supSelection 3 2" xfId="1129"/>
    <cellStyle name="supSelection 3 2 2" xfId="1130"/>
    <cellStyle name="supSelection 3 3" xfId="1131"/>
    <cellStyle name="supSelection 4" xfId="1132"/>
    <cellStyle name="supSelection 4 2" xfId="1133"/>
    <cellStyle name="supSelection 5" xfId="1134"/>
    <cellStyle name="supText" xfId="1135"/>
    <cellStyle name="supText 2" xfId="1136"/>
    <cellStyle name="supText 2 2" xfId="1137"/>
    <cellStyle name="supText 2 2 2" xfId="1138"/>
    <cellStyle name="supText 2 2 2 2" xfId="1139"/>
    <cellStyle name="supText 2 2 3" xfId="1140"/>
    <cellStyle name="supText 2 3" xfId="1141"/>
    <cellStyle name="supText 2 3 2" xfId="1142"/>
    <cellStyle name="supText 2 4" xfId="1143"/>
    <cellStyle name="supText 3" xfId="1144"/>
    <cellStyle name="supText 3 2" xfId="1145"/>
    <cellStyle name="supText 3 2 2" xfId="1146"/>
    <cellStyle name="supText 3 3" xfId="1147"/>
    <cellStyle name="supText 4" xfId="1148"/>
    <cellStyle name="supText 4 2" xfId="1149"/>
    <cellStyle name="supText 5" xfId="1150"/>
    <cellStyle name="Számítás" xfId="1151"/>
    <cellStyle name="Számítás 2" xfId="1152"/>
    <cellStyle name="Texto de advertencia" xfId="1153"/>
    <cellStyle name="Texto de advertencia 2" xfId="1154"/>
    <cellStyle name="Texto explicativo" xfId="1155"/>
    <cellStyle name="Texto explicativo 2" xfId="1156"/>
    <cellStyle name="Title 2" xfId="1157"/>
    <cellStyle name="Title 2 2" xfId="1158"/>
    <cellStyle name="Titre 2 2" xfId="1159"/>
    <cellStyle name="Titre 2 2 2" xfId="1160"/>
    <cellStyle name="Total 2" xfId="1161"/>
    <cellStyle name="Total 2 2" xfId="1162"/>
    <cellStyle name="Título" xfId="1163"/>
    <cellStyle name="Título 1" xfId="1164"/>
    <cellStyle name="Título 1 2" xfId="1165"/>
    <cellStyle name="Título 2" xfId="1166"/>
    <cellStyle name="Título 2 2" xfId="1167"/>
    <cellStyle name="Título 3" xfId="1168"/>
    <cellStyle name="Título 3 2" xfId="1169"/>
    <cellStyle name="Título 4" xfId="1170"/>
    <cellStyle name="Título_20091015 DE_Proposed amendments to CR SEC_MKR" xfId="1171"/>
    <cellStyle name="Unlocked" xfId="1172"/>
    <cellStyle name="Unlocked 2" xfId="1173"/>
    <cellStyle name="Unlocked Input" xfId="1174"/>
    <cellStyle name="Unlocked Input 2" xfId="1175"/>
    <cellStyle name="Unlocked Input 2 2" xfId="1176"/>
    <cellStyle name="Unlocked Input 2 2 2" xfId="1177"/>
    <cellStyle name="Unlocked Input 2 2 2 2" xfId="1178"/>
    <cellStyle name="Unlocked Input 2 2 2 2 2" xfId="1179"/>
    <cellStyle name="Unlocked Input 2 2 2 3" xfId="1180"/>
    <cellStyle name="Unlocked Input 2 2 3" xfId="1181"/>
    <cellStyle name="Unlocked Input 2 2 3 2" xfId="1182"/>
    <cellStyle name="Unlocked Input 2 2 4" xfId="1183"/>
    <cellStyle name="Unlocked Input 2 3" xfId="1184"/>
    <cellStyle name="Unlocked Input 3" xfId="1185"/>
    <cellStyle name="Unlocked Input 3 2" xfId="1186"/>
    <cellStyle name="Unlocked Input 3 2 2" xfId="1187"/>
    <cellStyle name="Unlocked Input 3 3" xfId="1188"/>
    <cellStyle name="Unlocked Input 4" xfId="1189"/>
    <cellStyle name="Warning Text" xfId="1190"/>
    <cellStyle name="Warning Text 2" xfId="1191"/>
    <cellStyle name="Warning Text 2 2" xfId="1192"/>
    <cellStyle name="Warning Text 3" xfId="1193"/>
    <cellStyle name="Énfasis1" xfId="1194"/>
    <cellStyle name="Énfasis1 2" xfId="1195"/>
    <cellStyle name="Énfasis2" xfId="1196"/>
    <cellStyle name="Énfasis2 2" xfId="1197"/>
    <cellStyle name="Énfasis3" xfId="1198"/>
    <cellStyle name="Énfasis3 2" xfId="1199"/>
    <cellStyle name="Énfasis4" xfId="1200"/>
    <cellStyle name="Énfasis4 2" xfId="1201"/>
    <cellStyle name="Énfasis5" xfId="1202"/>
    <cellStyle name="Énfasis5 2" xfId="1203"/>
    <cellStyle name="Énfasis6" xfId="1204"/>
    <cellStyle name="Énfasis6 2" xfId="1205"/>
    <cellStyle name="Összesen" xfId="1206"/>
    <cellStyle name="Összesen 2" xfId="1207"/>
    <cellStyle name="Excel Built-in Percent 3" xfId="1208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rgb="FF00B05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83CA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D320"/>
      <rgbColor rgb="FF00FFFF"/>
      <rgbColor rgb="FF800080"/>
      <rgbColor rgb="FF800000"/>
      <rgbColor rgb="FF008080"/>
      <rgbColor rgb="FF0000FF"/>
      <rgbColor rgb="FF00CCFF"/>
      <rgbColor rgb="FFFFF2C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66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1371240</colOff>
      <row>25</row>
      <rowOff>0</rowOff>
    </from>
    <to>
      <col>11</col>
      <colOff>1366920</colOff>
      <row>29</row>
      <rowOff>174240</rowOff>
    </to>
    <pic>
      <nvPicPr>
        <cNvPr id="2" name="Graphics 1"/>
        <cNvPicPr/>
      </nvPicPr>
      <blipFill>
        <a:blip r:embed="rId1">
          <lum bright="-50000" contrast="0"/>
        </a:blip>
        <a:stretch>
          <a:fillRect/>
        </a:stretch>
      </blipFill>
      <spPr>
        <a:xfrm>
          <a:off x="2154240" y="9524880"/>
          <a:ext cx="7897680" cy="361296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view="pageBreakPreview" topLeftCell="B4" zoomScaleNormal="100" workbookViewId="0">
      <selection activeCell="G1" sqref="G1:G22"/>
    </sheetView>
  </sheetViews>
  <sheetFormatPr baseColWidth="10" defaultColWidth="11" defaultRowHeight="12.75" customHeight="1"/>
  <cols>
    <col collapsed="1" width="9.7265625" customWidth="1" style="5" min="1" max="1"/>
    <col collapsed="1" width="52.7265625" customWidth="1" style="5" min="2" max="2"/>
    <col collapsed="1" width="2" customWidth="1" style="5" min="3" max="3"/>
    <col collapsed="1" width="1.36328125" customWidth="1" style="5" min="4" max="4"/>
    <col collapsed="1" width="0.54296875" customWidth="1" style="5" min="5" max="5"/>
    <col collapsed="1" width="3.1796875" customWidth="1" style="5" min="6" max="6"/>
    <col collapsed="1" width="1.81640625" customWidth="1" style="5" min="7" max="7"/>
    <col collapsed="1" width="1.7265625" customWidth="1" style="5" min="8" max="8"/>
    <col collapsed="1" width="0.36328125" customWidth="1" style="6" min="9" max="9"/>
    <col collapsed="1" width="2.36328125" customWidth="1" style="6" min="10" max="10"/>
    <col collapsed="1" width="31.7265625" customWidth="1" style="6" min="11" max="11"/>
    <col collapsed="1" width="58.81640625" customWidth="1" style="6" min="12" max="12"/>
    <col collapsed="1" width="11" customWidth="1" style="697" min="13" max="256"/>
    <col collapsed="1" width="9.7265625" customWidth="1" style="697" min="257" max="257"/>
    <col collapsed="1" width="52.7265625" customWidth="1" style="697" min="258" max="258"/>
    <col collapsed="1" width="2" customWidth="1" style="697" min="259" max="259"/>
    <col collapsed="1" width="1.36328125" customWidth="1" style="697" min="260" max="260"/>
    <col collapsed="1" width="0.54296875" customWidth="1" style="697" min="261" max="261"/>
    <col collapsed="1" width="3.1796875" customWidth="1" style="697" min="262" max="262"/>
    <col collapsed="1" width="1.81640625" customWidth="1" style="697" min="263" max="263"/>
    <col collapsed="1" width="1.7265625" customWidth="1" style="697" min="264" max="264"/>
    <col collapsed="1" width="0.36328125" customWidth="1" style="697" min="265" max="265"/>
    <col collapsed="1" width="2.36328125" customWidth="1" style="697" min="266" max="266"/>
    <col collapsed="1" width="31.7265625" customWidth="1" style="697" min="267" max="267"/>
    <col collapsed="1" width="58.81640625" customWidth="1" style="697" min="268" max="268"/>
    <col collapsed="1" width="11" customWidth="1" style="697" min="269" max="512"/>
    <col collapsed="1" width="9.7265625" customWidth="1" style="697" min="513" max="513"/>
    <col collapsed="1" width="52.7265625" customWidth="1" style="697" min="514" max="514"/>
    <col collapsed="1" width="2" customWidth="1" style="697" min="515" max="515"/>
    <col collapsed="1" width="1.36328125" customWidth="1" style="697" min="516" max="516"/>
    <col collapsed="1" width="0.54296875" customWidth="1" style="697" min="517" max="517"/>
    <col collapsed="1" width="3.1796875" customWidth="1" style="697" min="518" max="518"/>
    <col collapsed="1" width="1.81640625" customWidth="1" style="697" min="519" max="519"/>
    <col collapsed="1" width="1.7265625" customWidth="1" style="697" min="520" max="520"/>
    <col collapsed="1" width="0.36328125" customWidth="1" style="697" min="521" max="521"/>
    <col collapsed="1" width="2.36328125" customWidth="1" style="697" min="522" max="522"/>
    <col collapsed="1" width="31.7265625" customWidth="1" style="697" min="523" max="523"/>
    <col collapsed="1" width="58.81640625" customWidth="1" style="697" min="524" max="524"/>
    <col collapsed="1" width="11" customWidth="1" style="697" min="525" max="768"/>
    <col collapsed="1" width="9.7265625" customWidth="1" style="697" min="769" max="769"/>
    <col collapsed="1" width="52.7265625" customWidth="1" style="697" min="770" max="770"/>
    <col collapsed="1" width="2" customWidth="1" style="697" min="771" max="771"/>
    <col collapsed="1" width="1.36328125" customWidth="1" style="697" min="772" max="772"/>
    <col collapsed="1" width="0.54296875" customWidth="1" style="697" min="773" max="773"/>
    <col collapsed="1" width="3.1796875" customWidth="1" style="697" min="774" max="774"/>
    <col collapsed="1" width="1.81640625" customWidth="1" style="697" min="775" max="775"/>
    <col collapsed="1" width="1.7265625" customWidth="1" style="697" min="776" max="776"/>
    <col collapsed="1" width="0.36328125" customWidth="1" style="697" min="777" max="777"/>
    <col collapsed="1" width="2.36328125" customWidth="1" style="697" min="778" max="778"/>
    <col collapsed="1" width="31.7265625" customWidth="1" style="697" min="779" max="779"/>
    <col collapsed="1" width="58.81640625" customWidth="1" style="697" min="780" max="780"/>
    <col collapsed="1" width="11" customWidth="1" style="697" min="781" max="1024"/>
    <col collapsed="1" width="9.7265625" customWidth="1" style="697" min="1025" max="1025"/>
    <col collapsed="1" width="52.7265625" customWidth="1" style="697" min="1026" max="1026"/>
    <col collapsed="1" width="2" customWidth="1" style="697" min="1027" max="1027"/>
    <col collapsed="1" width="1.36328125" customWidth="1" style="697" min="1028" max="1028"/>
    <col collapsed="1" width="0.54296875" customWidth="1" style="697" min="1029" max="1029"/>
    <col collapsed="1" width="3.1796875" customWidth="1" style="697" min="1030" max="1030"/>
    <col collapsed="1" width="1.81640625" customWidth="1" style="697" min="1031" max="1031"/>
    <col collapsed="1" width="1.7265625" customWidth="1" style="697" min="1032" max="1032"/>
    <col collapsed="1" width="0.36328125" customWidth="1" style="697" min="1033" max="1033"/>
    <col collapsed="1" width="2.36328125" customWidth="1" style="697" min="1034" max="1034"/>
    <col collapsed="1" width="31.7265625" customWidth="1" style="697" min="1035" max="1035"/>
    <col collapsed="1" width="58.81640625" customWidth="1" style="697" min="1036" max="1036"/>
    <col collapsed="1" width="11" customWidth="1" style="697" min="1037" max="1280"/>
    <col collapsed="1" width="9.7265625" customWidth="1" style="697" min="1281" max="1281"/>
    <col collapsed="1" width="52.7265625" customWidth="1" style="697" min="1282" max="1282"/>
    <col collapsed="1" width="2" customWidth="1" style="697" min="1283" max="1283"/>
    <col collapsed="1" width="1.36328125" customWidth="1" style="697" min="1284" max="1284"/>
    <col collapsed="1" width="0.54296875" customWidth="1" style="697" min="1285" max="1285"/>
    <col collapsed="1" width="3.1796875" customWidth="1" style="697" min="1286" max="1286"/>
    <col collapsed="1" width="1.81640625" customWidth="1" style="697" min="1287" max="1287"/>
    <col collapsed="1" width="1.7265625" customWidth="1" style="697" min="1288" max="1288"/>
    <col collapsed="1" width="0.36328125" customWidth="1" style="697" min="1289" max="1289"/>
    <col collapsed="1" width="2.36328125" customWidth="1" style="697" min="1290" max="1290"/>
    <col collapsed="1" width="31.7265625" customWidth="1" style="697" min="1291" max="1291"/>
    <col collapsed="1" width="58.81640625" customWidth="1" style="697" min="1292" max="1292"/>
    <col collapsed="1" width="11" customWidth="1" style="697" min="1293" max="1536"/>
    <col collapsed="1" width="9.7265625" customWidth="1" style="697" min="1537" max="1537"/>
    <col collapsed="1" width="52.7265625" customWidth="1" style="697" min="1538" max="1538"/>
    <col collapsed="1" width="2" customWidth="1" style="697" min="1539" max="1539"/>
    <col collapsed="1" width="1.36328125" customWidth="1" style="697" min="1540" max="1540"/>
    <col collapsed="1" width="0.54296875" customWidth="1" style="697" min="1541" max="1541"/>
    <col collapsed="1" width="3.1796875" customWidth="1" style="697" min="1542" max="1542"/>
    <col collapsed="1" width="1.81640625" customWidth="1" style="697" min="1543" max="1543"/>
    <col collapsed="1" width="1.7265625" customWidth="1" style="697" min="1544" max="1544"/>
    <col collapsed="1" width="0.36328125" customWidth="1" style="697" min="1545" max="1545"/>
    <col collapsed="1" width="2.36328125" customWidth="1" style="697" min="1546" max="1546"/>
    <col collapsed="1" width="31.7265625" customWidth="1" style="697" min="1547" max="1547"/>
    <col collapsed="1" width="58.81640625" customWidth="1" style="697" min="1548" max="1548"/>
    <col collapsed="1" width="11" customWidth="1" style="697" min="1549" max="1792"/>
    <col collapsed="1" width="9.7265625" customWidth="1" style="697" min="1793" max="1793"/>
    <col collapsed="1" width="52.7265625" customWidth="1" style="697" min="1794" max="1794"/>
    <col collapsed="1" width="2" customWidth="1" style="697" min="1795" max="1795"/>
    <col collapsed="1" width="1.36328125" customWidth="1" style="697" min="1796" max="1796"/>
    <col collapsed="1" width="0.54296875" customWidth="1" style="697" min="1797" max="1797"/>
    <col collapsed="1" width="3.1796875" customWidth="1" style="697" min="1798" max="1798"/>
    <col collapsed="1" width="1.81640625" customWidth="1" style="697" min="1799" max="1799"/>
    <col collapsed="1" width="1.7265625" customWidth="1" style="697" min="1800" max="1800"/>
    <col collapsed="1" width="0.36328125" customWidth="1" style="697" min="1801" max="1801"/>
    <col collapsed="1" width="2.36328125" customWidth="1" style="697" min="1802" max="1802"/>
    <col collapsed="1" width="31.7265625" customWidth="1" style="697" min="1803" max="1803"/>
    <col collapsed="1" width="58.81640625" customWidth="1" style="697" min="1804" max="1804"/>
    <col collapsed="1" width="11" customWidth="1" style="697" min="1805" max="2048"/>
    <col collapsed="1" width="9.7265625" customWidth="1" style="697" min="2049" max="2049"/>
    <col collapsed="1" width="52.7265625" customWidth="1" style="697" min="2050" max="2050"/>
    <col collapsed="1" width="2" customWidth="1" style="697" min="2051" max="2051"/>
    <col collapsed="1" width="1.36328125" customWidth="1" style="697" min="2052" max="2052"/>
    <col collapsed="1" width="0.54296875" customWidth="1" style="697" min="2053" max="2053"/>
    <col collapsed="1" width="3.1796875" customWidth="1" style="697" min="2054" max="2054"/>
    <col collapsed="1" width="1.81640625" customWidth="1" style="697" min="2055" max="2055"/>
    <col collapsed="1" width="1.7265625" customWidth="1" style="697" min="2056" max="2056"/>
    <col collapsed="1" width="0.36328125" customWidth="1" style="697" min="2057" max="2057"/>
    <col collapsed="1" width="2.36328125" customWidth="1" style="697" min="2058" max="2058"/>
    <col collapsed="1" width="31.7265625" customWidth="1" style="697" min="2059" max="2059"/>
    <col collapsed="1" width="58.81640625" customWidth="1" style="697" min="2060" max="2060"/>
    <col collapsed="1" width="11" customWidth="1" style="697" min="2061" max="2304"/>
    <col collapsed="1" width="9.7265625" customWidth="1" style="697" min="2305" max="2305"/>
    <col collapsed="1" width="52.7265625" customWidth="1" style="697" min="2306" max="2306"/>
    <col collapsed="1" width="2" customWidth="1" style="697" min="2307" max="2307"/>
    <col collapsed="1" width="1.36328125" customWidth="1" style="697" min="2308" max="2308"/>
    <col collapsed="1" width="0.54296875" customWidth="1" style="697" min="2309" max="2309"/>
    <col collapsed="1" width="3.1796875" customWidth="1" style="697" min="2310" max="2310"/>
    <col collapsed="1" width="1.81640625" customWidth="1" style="697" min="2311" max="2311"/>
    <col collapsed="1" width="1.7265625" customWidth="1" style="697" min="2312" max="2312"/>
    <col collapsed="1" width="0.36328125" customWidth="1" style="697" min="2313" max="2313"/>
    <col collapsed="1" width="2.36328125" customWidth="1" style="697" min="2314" max="2314"/>
    <col collapsed="1" width="31.7265625" customWidth="1" style="697" min="2315" max="2315"/>
    <col collapsed="1" width="58.81640625" customWidth="1" style="697" min="2316" max="2316"/>
    <col collapsed="1" width="11" customWidth="1" style="697" min="2317" max="2560"/>
    <col collapsed="1" width="9.7265625" customWidth="1" style="697" min="2561" max="2561"/>
    <col collapsed="1" width="52.7265625" customWidth="1" style="697" min="2562" max="2562"/>
    <col collapsed="1" width="2" customWidth="1" style="697" min="2563" max="2563"/>
    <col collapsed="1" width="1.36328125" customWidth="1" style="697" min="2564" max="2564"/>
    <col collapsed="1" width="0.54296875" customWidth="1" style="697" min="2565" max="2565"/>
    <col collapsed="1" width="3.1796875" customWidth="1" style="697" min="2566" max="2566"/>
    <col collapsed="1" width="1.81640625" customWidth="1" style="697" min="2567" max="2567"/>
    <col collapsed="1" width="1.7265625" customWidth="1" style="697" min="2568" max="2568"/>
    <col collapsed="1" width="0.36328125" customWidth="1" style="697" min="2569" max="2569"/>
    <col collapsed="1" width="2.36328125" customWidth="1" style="697" min="2570" max="2570"/>
    <col collapsed="1" width="31.7265625" customWidth="1" style="697" min="2571" max="2571"/>
    <col collapsed="1" width="58.81640625" customWidth="1" style="697" min="2572" max="2572"/>
    <col collapsed="1" width="11" customWidth="1" style="697" min="2573" max="2816"/>
    <col collapsed="1" width="9.7265625" customWidth="1" style="697" min="2817" max="2817"/>
    <col collapsed="1" width="52.7265625" customWidth="1" style="697" min="2818" max="2818"/>
    <col collapsed="1" width="2" customWidth="1" style="697" min="2819" max="2819"/>
    <col collapsed="1" width="1.36328125" customWidth="1" style="697" min="2820" max="2820"/>
    <col collapsed="1" width="0.54296875" customWidth="1" style="697" min="2821" max="2821"/>
    <col collapsed="1" width="3.1796875" customWidth="1" style="697" min="2822" max="2822"/>
    <col collapsed="1" width="1.81640625" customWidth="1" style="697" min="2823" max="2823"/>
    <col collapsed="1" width="1.7265625" customWidth="1" style="697" min="2824" max="2824"/>
    <col collapsed="1" width="0.36328125" customWidth="1" style="697" min="2825" max="2825"/>
    <col collapsed="1" width="2.36328125" customWidth="1" style="697" min="2826" max="2826"/>
    <col collapsed="1" width="31.7265625" customWidth="1" style="697" min="2827" max="2827"/>
    <col collapsed="1" width="58.81640625" customWidth="1" style="697" min="2828" max="2828"/>
    <col collapsed="1" width="11" customWidth="1" style="697" min="2829" max="3072"/>
    <col collapsed="1" width="9.7265625" customWidth="1" style="697" min="3073" max="3073"/>
    <col collapsed="1" width="52.7265625" customWidth="1" style="697" min="3074" max="3074"/>
    <col collapsed="1" width="2" customWidth="1" style="697" min="3075" max="3075"/>
    <col collapsed="1" width="1.36328125" customWidth="1" style="697" min="3076" max="3076"/>
    <col collapsed="1" width="0.54296875" customWidth="1" style="697" min="3077" max="3077"/>
    <col collapsed="1" width="3.1796875" customWidth="1" style="697" min="3078" max="3078"/>
    <col collapsed="1" width="1.81640625" customWidth="1" style="697" min="3079" max="3079"/>
    <col collapsed="1" width="1.7265625" customWidth="1" style="697" min="3080" max="3080"/>
    <col collapsed="1" width="0.36328125" customWidth="1" style="697" min="3081" max="3081"/>
    <col collapsed="1" width="2.36328125" customWidth="1" style="697" min="3082" max="3082"/>
    <col collapsed="1" width="31.7265625" customWidth="1" style="697" min="3083" max="3083"/>
    <col collapsed="1" width="58.81640625" customWidth="1" style="697" min="3084" max="3084"/>
    <col collapsed="1" width="11" customWidth="1" style="697" min="3085" max="3328"/>
    <col collapsed="1" width="9.7265625" customWidth="1" style="697" min="3329" max="3329"/>
    <col collapsed="1" width="52.7265625" customWidth="1" style="697" min="3330" max="3330"/>
    <col collapsed="1" width="2" customWidth="1" style="697" min="3331" max="3331"/>
    <col collapsed="1" width="1.36328125" customWidth="1" style="697" min="3332" max="3332"/>
    <col collapsed="1" width="0.54296875" customWidth="1" style="697" min="3333" max="3333"/>
    <col collapsed="1" width="3.1796875" customWidth="1" style="697" min="3334" max="3334"/>
    <col collapsed="1" width="1.81640625" customWidth="1" style="697" min="3335" max="3335"/>
    <col collapsed="1" width="1.7265625" customWidth="1" style="697" min="3336" max="3336"/>
    <col collapsed="1" width="0.36328125" customWidth="1" style="697" min="3337" max="3337"/>
    <col collapsed="1" width="2.36328125" customWidth="1" style="697" min="3338" max="3338"/>
    <col collapsed="1" width="31.7265625" customWidth="1" style="697" min="3339" max="3339"/>
    <col collapsed="1" width="58.81640625" customWidth="1" style="697" min="3340" max="3340"/>
    <col collapsed="1" width="11" customWidth="1" style="697" min="3341" max="3584"/>
    <col collapsed="1" width="9.7265625" customWidth="1" style="697" min="3585" max="3585"/>
    <col collapsed="1" width="52.7265625" customWidth="1" style="697" min="3586" max="3586"/>
    <col collapsed="1" width="2" customWidth="1" style="697" min="3587" max="3587"/>
    <col collapsed="1" width="1.36328125" customWidth="1" style="697" min="3588" max="3588"/>
    <col collapsed="1" width="0.54296875" customWidth="1" style="697" min="3589" max="3589"/>
    <col collapsed="1" width="3.1796875" customWidth="1" style="697" min="3590" max="3590"/>
    <col collapsed="1" width="1.81640625" customWidth="1" style="697" min="3591" max="3591"/>
    <col collapsed="1" width="1.7265625" customWidth="1" style="697" min="3592" max="3592"/>
    <col collapsed="1" width="0.36328125" customWidth="1" style="697" min="3593" max="3593"/>
    <col collapsed="1" width="2.36328125" customWidth="1" style="697" min="3594" max="3594"/>
    <col collapsed="1" width="31.7265625" customWidth="1" style="697" min="3595" max="3595"/>
    <col collapsed="1" width="58.81640625" customWidth="1" style="697" min="3596" max="3596"/>
    <col collapsed="1" width="11" customWidth="1" style="697" min="3597" max="3840"/>
    <col collapsed="1" width="9.7265625" customWidth="1" style="697" min="3841" max="3841"/>
    <col collapsed="1" width="52.7265625" customWidth="1" style="697" min="3842" max="3842"/>
    <col collapsed="1" width="2" customWidth="1" style="697" min="3843" max="3843"/>
    <col collapsed="1" width="1.36328125" customWidth="1" style="697" min="3844" max="3844"/>
    <col collapsed="1" width="0.54296875" customWidth="1" style="697" min="3845" max="3845"/>
    <col collapsed="1" width="3.1796875" customWidth="1" style="697" min="3846" max="3846"/>
    <col collapsed="1" width="1.81640625" customWidth="1" style="697" min="3847" max="3847"/>
    <col collapsed="1" width="1.7265625" customWidth="1" style="697" min="3848" max="3848"/>
    <col collapsed="1" width="0.36328125" customWidth="1" style="697" min="3849" max="3849"/>
    <col collapsed="1" width="2.36328125" customWidth="1" style="697" min="3850" max="3850"/>
    <col collapsed="1" width="31.7265625" customWidth="1" style="697" min="3851" max="3851"/>
    <col collapsed="1" width="58.81640625" customWidth="1" style="697" min="3852" max="3852"/>
    <col collapsed="1" width="11" customWidth="1" style="697" min="3853" max="4096"/>
    <col collapsed="1" width="9.7265625" customWidth="1" style="697" min="4097" max="4097"/>
    <col collapsed="1" width="52.7265625" customWidth="1" style="697" min="4098" max="4098"/>
    <col collapsed="1" width="2" customWidth="1" style="697" min="4099" max="4099"/>
    <col collapsed="1" width="1.36328125" customWidth="1" style="697" min="4100" max="4100"/>
    <col collapsed="1" width="0.54296875" customWidth="1" style="697" min="4101" max="4101"/>
    <col collapsed="1" width="3.1796875" customWidth="1" style="697" min="4102" max="4102"/>
    <col collapsed="1" width="1.81640625" customWidth="1" style="697" min="4103" max="4103"/>
    <col collapsed="1" width="1.7265625" customWidth="1" style="697" min="4104" max="4104"/>
    <col collapsed="1" width="0.36328125" customWidth="1" style="697" min="4105" max="4105"/>
    <col collapsed="1" width="2.36328125" customWidth="1" style="697" min="4106" max="4106"/>
    <col collapsed="1" width="31.7265625" customWidth="1" style="697" min="4107" max="4107"/>
    <col collapsed="1" width="58.81640625" customWidth="1" style="697" min="4108" max="4108"/>
    <col collapsed="1" width="11" customWidth="1" style="697" min="4109" max="4352"/>
    <col collapsed="1" width="9.7265625" customWidth="1" style="697" min="4353" max="4353"/>
    <col collapsed="1" width="52.7265625" customWidth="1" style="697" min="4354" max="4354"/>
    <col collapsed="1" width="2" customWidth="1" style="697" min="4355" max="4355"/>
    <col collapsed="1" width="1.36328125" customWidth="1" style="697" min="4356" max="4356"/>
    <col collapsed="1" width="0.54296875" customWidth="1" style="697" min="4357" max="4357"/>
    <col collapsed="1" width="3.1796875" customWidth="1" style="697" min="4358" max="4358"/>
    <col collapsed="1" width="1.81640625" customWidth="1" style="697" min="4359" max="4359"/>
    <col collapsed="1" width="1.7265625" customWidth="1" style="697" min="4360" max="4360"/>
    <col collapsed="1" width="0.36328125" customWidth="1" style="697" min="4361" max="4361"/>
    <col collapsed="1" width="2.36328125" customWidth="1" style="697" min="4362" max="4362"/>
    <col collapsed="1" width="31.7265625" customWidth="1" style="697" min="4363" max="4363"/>
    <col collapsed="1" width="58.81640625" customWidth="1" style="697" min="4364" max="4364"/>
    <col collapsed="1" width="11" customWidth="1" style="697" min="4365" max="4608"/>
    <col collapsed="1" width="9.7265625" customWidth="1" style="697" min="4609" max="4609"/>
    <col collapsed="1" width="52.7265625" customWidth="1" style="697" min="4610" max="4610"/>
    <col collapsed="1" width="2" customWidth="1" style="697" min="4611" max="4611"/>
    <col collapsed="1" width="1.36328125" customWidth="1" style="697" min="4612" max="4612"/>
    <col collapsed="1" width="0.54296875" customWidth="1" style="697" min="4613" max="4613"/>
    <col collapsed="1" width="3.1796875" customWidth="1" style="697" min="4614" max="4614"/>
    <col collapsed="1" width="1.81640625" customWidth="1" style="697" min="4615" max="4615"/>
    <col collapsed="1" width="1.7265625" customWidth="1" style="697" min="4616" max="4616"/>
    <col collapsed="1" width="0.36328125" customWidth="1" style="697" min="4617" max="4617"/>
    <col collapsed="1" width="2.36328125" customWidth="1" style="697" min="4618" max="4618"/>
    <col collapsed="1" width="31.7265625" customWidth="1" style="697" min="4619" max="4619"/>
    <col collapsed="1" width="58.81640625" customWidth="1" style="697" min="4620" max="4620"/>
    <col collapsed="1" width="11" customWidth="1" style="697" min="4621" max="4864"/>
    <col collapsed="1" width="9.7265625" customWidth="1" style="697" min="4865" max="4865"/>
    <col collapsed="1" width="52.7265625" customWidth="1" style="697" min="4866" max="4866"/>
    <col collapsed="1" width="2" customWidth="1" style="697" min="4867" max="4867"/>
    <col collapsed="1" width="1.36328125" customWidth="1" style="697" min="4868" max="4868"/>
    <col collapsed="1" width="0.54296875" customWidth="1" style="697" min="4869" max="4869"/>
    <col collapsed="1" width="3.1796875" customWidth="1" style="697" min="4870" max="4870"/>
    <col collapsed="1" width="1.81640625" customWidth="1" style="697" min="4871" max="4871"/>
    <col collapsed="1" width="1.7265625" customWidth="1" style="697" min="4872" max="4872"/>
    <col collapsed="1" width="0.36328125" customWidth="1" style="697" min="4873" max="4873"/>
    <col collapsed="1" width="2.36328125" customWidth="1" style="697" min="4874" max="4874"/>
    <col collapsed="1" width="31.7265625" customWidth="1" style="697" min="4875" max="4875"/>
    <col collapsed="1" width="58.81640625" customWidth="1" style="697" min="4876" max="4876"/>
    <col collapsed="1" width="11" customWidth="1" style="697" min="4877" max="5120"/>
    <col collapsed="1" width="9.7265625" customWidth="1" style="697" min="5121" max="5121"/>
    <col collapsed="1" width="52.7265625" customWidth="1" style="697" min="5122" max="5122"/>
    <col collapsed="1" width="2" customWidth="1" style="697" min="5123" max="5123"/>
    <col collapsed="1" width="1.36328125" customWidth="1" style="697" min="5124" max="5124"/>
    <col collapsed="1" width="0.54296875" customWidth="1" style="697" min="5125" max="5125"/>
    <col collapsed="1" width="3.1796875" customWidth="1" style="697" min="5126" max="5126"/>
    <col collapsed="1" width="1.81640625" customWidth="1" style="697" min="5127" max="5127"/>
    <col collapsed="1" width="1.7265625" customWidth="1" style="697" min="5128" max="5128"/>
    <col collapsed="1" width="0.36328125" customWidth="1" style="697" min="5129" max="5129"/>
    <col collapsed="1" width="2.36328125" customWidth="1" style="697" min="5130" max="5130"/>
    <col collapsed="1" width="31.7265625" customWidth="1" style="697" min="5131" max="5131"/>
    <col collapsed="1" width="58.81640625" customWidth="1" style="697" min="5132" max="5132"/>
    <col collapsed="1" width="11" customWidth="1" style="697" min="5133" max="5376"/>
    <col collapsed="1" width="9.7265625" customWidth="1" style="697" min="5377" max="5377"/>
    <col collapsed="1" width="52.7265625" customWidth="1" style="697" min="5378" max="5378"/>
    <col collapsed="1" width="2" customWidth="1" style="697" min="5379" max="5379"/>
    <col collapsed="1" width="1.36328125" customWidth="1" style="697" min="5380" max="5380"/>
    <col collapsed="1" width="0.54296875" customWidth="1" style="697" min="5381" max="5381"/>
    <col collapsed="1" width="3.1796875" customWidth="1" style="697" min="5382" max="5382"/>
    <col collapsed="1" width="1.81640625" customWidth="1" style="697" min="5383" max="5383"/>
    <col collapsed="1" width="1.7265625" customWidth="1" style="697" min="5384" max="5384"/>
    <col collapsed="1" width="0.36328125" customWidth="1" style="697" min="5385" max="5385"/>
    <col collapsed="1" width="2.36328125" customWidth="1" style="697" min="5386" max="5386"/>
    <col collapsed="1" width="31.7265625" customWidth="1" style="697" min="5387" max="5387"/>
    <col collapsed="1" width="58.81640625" customWidth="1" style="697" min="5388" max="5388"/>
    <col collapsed="1" width="11" customWidth="1" style="697" min="5389" max="5632"/>
    <col collapsed="1" width="9.7265625" customWidth="1" style="697" min="5633" max="5633"/>
    <col collapsed="1" width="52.7265625" customWidth="1" style="697" min="5634" max="5634"/>
    <col collapsed="1" width="2" customWidth="1" style="697" min="5635" max="5635"/>
    <col collapsed="1" width="1.36328125" customWidth="1" style="697" min="5636" max="5636"/>
    <col collapsed="1" width="0.54296875" customWidth="1" style="697" min="5637" max="5637"/>
    <col collapsed="1" width="3.1796875" customWidth="1" style="697" min="5638" max="5638"/>
    <col collapsed="1" width="1.81640625" customWidth="1" style="697" min="5639" max="5639"/>
    <col collapsed="1" width="1.7265625" customWidth="1" style="697" min="5640" max="5640"/>
    <col collapsed="1" width="0.36328125" customWidth="1" style="697" min="5641" max="5641"/>
    <col collapsed="1" width="2.36328125" customWidth="1" style="697" min="5642" max="5642"/>
    <col collapsed="1" width="31.7265625" customWidth="1" style="697" min="5643" max="5643"/>
    <col collapsed="1" width="58.81640625" customWidth="1" style="697" min="5644" max="5644"/>
    <col collapsed="1" width="11" customWidth="1" style="697" min="5645" max="5888"/>
    <col collapsed="1" width="9.7265625" customWidth="1" style="697" min="5889" max="5889"/>
    <col collapsed="1" width="52.7265625" customWidth="1" style="697" min="5890" max="5890"/>
    <col collapsed="1" width="2" customWidth="1" style="697" min="5891" max="5891"/>
    <col collapsed="1" width="1.36328125" customWidth="1" style="697" min="5892" max="5892"/>
    <col collapsed="1" width="0.54296875" customWidth="1" style="697" min="5893" max="5893"/>
    <col collapsed="1" width="3.1796875" customWidth="1" style="697" min="5894" max="5894"/>
    <col collapsed="1" width="1.81640625" customWidth="1" style="697" min="5895" max="5895"/>
    <col collapsed="1" width="1.7265625" customWidth="1" style="697" min="5896" max="5896"/>
    <col collapsed="1" width="0.36328125" customWidth="1" style="697" min="5897" max="5897"/>
    <col collapsed="1" width="2.36328125" customWidth="1" style="697" min="5898" max="5898"/>
    <col collapsed="1" width="31.7265625" customWidth="1" style="697" min="5899" max="5899"/>
    <col collapsed="1" width="58.81640625" customWidth="1" style="697" min="5900" max="5900"/>
    <col collapsed="1" width="11" customWidth="1" style="697" min="5901" max="6144"/>
    <col collapsed="1" width="9.7265625" customWidth="1" style="697" min="6145" max="6145"/>
    <col collapsed="1" width="52.7265625" customWidth="1" style="697" min="6146" max="6146"/>
    <col collapsed="1" width="2" customWidth="1" style="697" min="6147" max="6147"/>
    <col collapsed="1" width="1.36328125" customWidth="1" style="697" min="6148" max="6148"/>
    <col collapsed="1" width="0.54296875" customWidth="1" style="697" min="6149" max="6149"/>
    <col collapsed="1" width="3.1796875" customWidth="1" style="697" min="6150" max="6150"/>
    <col collapsed="1" width="1.81640625" customWidth="1" style="697" min="6151" max="6151"/>
    <col collapsed="1" width="1.7265625" customWidth="1" style="697" min="6152" max="6152"/>
    <col collapsed="1" width="0.36328125" customWidth="1" style="697" min="6153" max="6153"/>
    <col collapsed="1" width="2.36328125" customWidth="1" style="697" min="6154" max="6154"/>
    <col collapsed="1" width="31.7265625" customWidth="1" style="697" min="6155" max="6155"/>
    <col collapsed="1" width="58.81640625" customWidth="1" style="697" min="6156" max="6156"/>
    <col collapsed="1" width="11" customWidth="1" style="697" min="6157" max="6400"/>
    <col collapsed="1" width="9.7265625" customWidth="1" style="697" min="6401" max="6401"/>
    <col collapsed="1" width="52.7265625" customWidth="1" style="697" min="6402" max="6402"/>
    <col collapsed="1" width="2" customWidth="1" style="697" min="6403" max="6403"/>
    <col collapsed="1" width="1.36328125" customWidth="1" style="697" min="6404" max="6404"/>
    <col collapsed="1" width="0.54296875" customWidth="1" style="697" min="6405" max="6405"/>
    <col collapsed="1" width="3.1796875" customWidth="1" style="697" min="6406" max="6406"/>
    <col collapsed="1" width="1.81640625" customWidth="1" style="697" min="6407" max="6407"/>
    <col collapsed="1" width="1.7265625" customWidth="1" style="697" min="6408" max="6408"/>
    <col collapsed="1" width="0.36328125" customWidth="1" style="697" min="6409" max="6409"/>
    <col collapsed="1" width="2.36328125" customWidth="1" style="697" min="6410" max="6410"/>
    <col collapsed="1" width="31.7265625" customWidth="1" style="697" min="6411" max="6411"/>
    <col collapsed="1" width="58.81640625" customWidth="1" style="697" min="6412" max="6412"/>
    <col collapsed="1" width="11" customWidth="1" style="697" min="6413" max="6656"/>
    <col collapsed="1" width="9.7265625" customWidth="1" style="697" min="6657" max="6657"/>
    <col collapsed="1" width="52.7265625" customWidth="1" style="697" min="6658" max="6658"/>
    <col collapsed="1" width="2" customWidth="1" style="697" min="6659" max="6659"/>
    <col collapsed="1" width="1.36328125" customWidth="1" style="697" min="6660" max="6660"/>
    <col collapsed="1" width="0.54296875" customWidth="1" style="697" min="6661" max="6661"/>
    <col collapsed="1" width="3.1796875" customWidth="1" style="697" min="6662" max="6662"/>
    <col collapsed="1" width="1.81640625" customWidth="1" style="697" min="6663" max="6663"/>
    <col collapsed="1" width="1.7265625" customWidth="1" style="697" min="6664" max="6664"/>
    <col collapsed="1" width="0.36328125" customWidth="1" style="697" min="6665" max="6665"/>
    <col collapsed="1" width="2.36328125" customWidth="1" style="697" min="6666" max="6666"/>
    <col collapsed="1" width="31.7265625" customWidth="1" style="697" min="6667" max="6667"/>
    <col collapsed="1" width="58.81640625" customWidth="1" style="697" min="6668" max="6668"/>
    <col collapsed="1" width="11" customWidth="1" style="697" min="6669" max="6912"/>
    <col collapsed="1" width="9.7265625" customWidth="1" style="697" min="6913" max="6913"/>
    <col collapsed="1" width="52.7265625" customWidth="1" style="697" min="6914" max="6914"/>
    <col collapsed="1" width="2" customWidth="1" style="697" min="6915" max="6915"/>
    <col collapsed="1" width="1.36328125" customWidth="1" style="697" min="6916" max="6916"/>
    <col collapsed="1" width="0.54296875" customWidth="1" style="697" min="6917" max="6917"/>
    <col collapsed="1" width="3.1796875" customWidth="1" style="697" min="6918" max="6918"/>
    <col collapsed="1" width="1.81640625" customWidth="1" style="697" min="6919" max="6919"/>
    <col collapsed="1" width="1.7265625" customWidth="1" style="697" min="6920" max="6920"/>
    <col collapsed="1" width="0.36328125" customWidth="1" style="697" min="6921" max="6921"/>
    <col collapsed="1" width="2.36328125" customWidth="1" style="697" min="6922" max="6922"/>
    <col collapsed="1" width="31.7265625" customWidth="1" style="697" min="6923" max="6923"/>
    <col collapsed="1" width="58.81640625" customWidth="1" style="697" min="6924" max="6924"/>
    <col collapsed="1" width="11" customWidth="1" style="697" min="6925" max="7168"/>
    <col collapsed="1" width="9.7265625" customWidth="1" style="697" min="7169" max="7169"/>
    <col collapsed="1" width="52.7265625" customWidth="1" style="697" min="7170" max="7170"/>
    <col collapsed="1" width="2" customWidth="1" style="697" min="7171" max="7171"/>
    <col collapsed="1" width="1.36328125" customWidth="1" style="697" min="7172" max="7172"/>
    <col collapsed="1" width="0.54296875" customWidth="1" style="697" min="7173" max="7173"/>
    <col collapsed="1" width="3.1796875" customWidth="1" style="697" min="7174" max="7174"/>
    <col collapsed="1" width="1.81640625" customWidth="1" style="697" min="7175" max="7175"/>
    <col collapsed="1" width="1.7265625" customWidth="1" style="697" min="7176" max="7176"/>
    <col collapsed="1" width="0.36328125" customWidth="1" style="697" min="7177" max="7177"/>
    <col collapsed="1" width="2.36328125" customWidth="1" style="697" min="7178" max="7178"/>
    <col collapsed="1" width="31.7265625" customWidth="1" style="697" min="7179" max="7179"/>
    <col collapsed="1" width="58.81640625" customWidth="1" style="697" min="7180" max="7180"/>
    <col collapsed="1" width="11" customWidth="1" style="697" min="7181" max="7424"/>
    <col collapsed="1" width="9.7265625" customWidth="1" style="697" min="7425" max="7425"/>
    <col collapsed="1" width="52.7265625" customWidth="1" style="697" min="7426" max="7426"/>
    <col collapsed="1" width="2" customWidth="1" style="697" min="7427" max="7427"/>
    <col collapsed="1" width="1.36328125" customWidth="1" style="697" min="7428" max="7428"/>
    <col collapsed="1" width="0.54296875" customWidth="1" style="697" min="7429" max="7429"/>
    <col collapsed="1" width="3.1796875" customWidth="1" style="697" min="7430" max="7430"/>
    <col collapsed="1" width="1.81640625" customWidth="1" style="697" min="7431" max="7431"/>
    <col collapsed="1" width="1.7265625" customWidth="1" style="697" min="7432" max="7432"/>
    <col collapsed="1" width="0.36328125" customWidth="1" style="697" min="7433" max="7433"/>
    <col collapsed="1" width="2.36328125" customWidth="1" style="697" min="7434" max="7434"/>
    <col collapsed="1" width="31.7265625" customWidth="1" style="697" min="7435" max="7435"/>
    <col collapsed="1" width="58.81640625" customWidth="1" style="697" min="7436" max="7436"/>
    <col collapsed="1" width="11" customWidth="1" style="697" min="7437" max="7680"/>
    <col collapsed="1" width="9.7265625" customWidth="1" style="697" min="7681" max="7681"/>
    <col collapsed="1" width="52.7265625" customWidth="1" style="697" min="7682" max="7682"/>
    <col collapsed="1" width="2" customWidth="1" style="697" min="7683" max="7683"/>
    <col collapsed="1" width="1.36328125" customWidth="1" style="697" min="7684" max="7684"/>
    <col collapsed="1" width="0.54296875" customWidth="1" style="697" min="7685" max="7685"/>
    <col collapsed="1" width="3.1796875" customWidth="1" style="697" min="7686" max="7686"/>
    <col collapsed="1" width="1.81640625" customWidth="1" style="697" min="7687" max="7687"/>
    <col collapsed="1" width="1.7265625" customWidth="1" style="697" min="7688" max="7688"/>
    <col collapsed="1" width="0.36328125" customWidth="1" style="697" min="7689" max="7689"/>
    <col collapsed="1" width="2.36328125" customWidth="1" style="697" min="7690" max="7690"/>
    <col collapsed="1" width="31.7265625" customWidth="1" style="697" min="7691" max="7691"/>
    <col collapsed="1" width="58.81640625" customWidth="1" style="697" min="7692" max="7692"/>
    <col collapsed="1" width="11" customWidth="1" style="697" min="7693" max="7936"/>
    <col collapsed="1" width="9.7265625" customWidth="1" style="697" min="7937" max="7937"/>
    <col collapsed="1" width="52.7265625" customWidth="1" style="697" min="7938" max="7938"/>
    <col collapsed="1" width="2" customWidth="1" style="697" min="7939" max="7939"/>
    <col collapsed="1" width="1.36328125" customWidth="1" style="697" min="7940" max="7940"/>
    <col collapsed="1" width="0.54296875" customWidth="1" style="697" min="7941" max="7941"/>
    <col collapsed="1" width="3.1796875" customWidth="1" style="697" min="7942" max="7942"/>
    <col collapsed="1" width="1.81640625" customWidth="1" style="697" min="7943" max="7943"/>
    <col collapsed="1" width="1.7265625" customWidth="1" style="697" min="7944" max="7944"/>
    <col collapsed="1" width="0.36328125" customWidth="1" style="697" min="7945" max="7945"/>
    <col collapsed="1" width="2.36328125" customWidth="1" style="697" min="7946" max="7946"/>
    <col collapsed="1" width="31.7265625" customWidth="1" style="697" min="7947" max="7947"/>
    <col collapsed="1" width="58.81640625" customWidth="1" style="697" min="7948" max="7948"/>
    <col collapsed="1" width="11" customWidth="1" style="697" min="7949" max="8192"/>
    <col collapsed="1" width="9.7265625" customWidth="1" style="697" min="8193" max="8193"/>
    <col collapsed="1" width="52.7265625" customWidth="1" style="697" min="8194" max="8194"/>
    <col collapsed="1" width="2" customWidth="1" style="697" min="8195" max="8195"/>
    <col collapsed="1" width="1.36328125" customWidth="1" style="697" min="8196" max="8196"/>
    <col collapsed="1" width="0.54296875" customWidth="1" style="697" min="8197" max="8197"/>
    <col collapsed="1" width="3.1796875" customWidth="1" style="697" min="8198" max="8198"/>
    <col collapsed="1" width="1.81640625" customWidth="1" style="697" min="8199" max="8199"/>
    <col collapsed="1" width="1.7265625" customWidth="1" style="697" min="8200" max="8200"/>
    <col collapsed="1" width="0.36328125" customWidth="1" style="697" min="8201" max="8201"/>
    <col collapsed="1" width="2.36328125" customWidth="1" style="697" min="8202" max="8202"/>
    <col collapsed="1" width="31.7265625" customWidth="1" style="697" min="8203" max="8203"/>
    <col collapsed="1" width="58.81640625" customWidth="1" style="697" min="8204" max="8204"/>
    <col collapsed="1" width="11" customWidth="1" style="697" min="8205" max="8448"/>
    <col collapsed="1" width="9.7265625" customWidth="1" style="697" min="8449" max="8449"/>
    <col collapsed="1" width="52.7265625" customWidth="1" style="697" min="8450" max="8450"/>
    <col collapsed="1" width="2" customWidth="1" style="697" min="8451" max="8451"/>
    <col collapsed="1" width="1.36328125" customWidth="1" style="697" min="8452" max="8452"/>
    <col collapsed="1" width="0.54296875" customWidth="1" style="697" min="8453" max="8453"/>
    <col collapsed="1" width="3.1796875" customWidth="1" style="697" min="8454" max="8454"/>
    <col collapsed="1" width="1.81640625" customWidth="1" style="697" min="8455" max="8455"/>
    <col collapsed="1" width="1.7265625" customWidth="1" style="697" min="8456" max="8456"/>
    <col collapsed="1" width="0.36328125" customWidth="1" style="697" min="8457" max="8457"/>
    <col collapsed="1" width="2.36328125" customWidth="1" style="697" min="8458" max="8458"/>
    <col collapsed="1" width="31.7265625" customWidth="1" style="697" min="8459" max="8459"/>
    <col collapsed="1" width="58.81640625" customWidth="1" style="697" min="8460" max="8460"/>
    <col collapsed="1" width="11" customWidth="1" style="697" min="8461" max="8704"/>
    <col collapsed="1" width="9.7265625" customWidth="1" style="697" min="8705" max="8705"/>
    <col collapsed="1" width="52.7265625" customWidth="1" style="697" min="8706" max="8706"/>
    <col collapsed="1" width="2" customWidth="1" style="697" min="8707" max="8707"/>
    <col collapsed="1" width="1.36328125" customWidth="1" style="697" min="8708" max="8708"/>
    <col collapsed="1" width="0.54296875" customWidth="1" style="697" min="8709" max="8709"/>
    <col collapsed="1" width="3.1796875" customWidth="1" style="697" min="8710" max="8710"/>
    <col collapsed="1" width="1.81640625" customWidth="1" style="697" min="8711" max="8711"/>
    <col collapsed="1" width="1.7265625" customWidth="1" style="697" min="8712" max="8712"/>
    <col collapsed="1" width="0.36328125" customWidth="1" style="697" min="8713" max="8713"/>
    <col collapsed="1" width="2.36328125" customWidth="1" style="697" min="8714" max="8714"/>
    <col collapsed="1" width="31.7265625" customWidth="1" style="697" min="8715" max="8715"/>
    <col collapsed="1" width="58.81640625" customWidth="1" style="697" min="8716" max="8716"/>
    <col collapsed="1" width="11" customWidth="1" style="697" min="8717" max="8960"/>
    <col collapsed="1" width="9.7265625" customWidth="1" style="697" min="8961" max="8961"/>
    <col collapsed="1" width="52.7265625" customWidth="1" style="697" min="8962" max="8962"/>
    <col collapsed="1" width="2" customWidth="1" style="697" min="8963" max="8963"/>
    <col collapsed="1" width="1.36328125" customWidth="1" style="697" min="8964" max="8964"/>
    <col collapsed="1" width="0.54296875" customWidth="1" style="697" min="8965" max="8965"/>
    <col collapsed="1" width="3.1796875" customWidth="1" style="697" min="8966" max="8966"/>
    <col collapsed="1" width="1.81640625" customWidth="1" style="697" min="8967" max="8967"/>
    <col collapsed="1" width="1.7265625" customWidth="1" style="697" min="8968" max="8968"/>
    <col collapsed="1" width="0.36328125" customWidth="1" style="697" min="8969" max="8969"/>
    <col collapsed="1" width="2.36328125" customWidth="1" style="697" min="8970" max="8970"/>
    <col collapsed="1" width="31.7265625" customWidth="1" style="697" min="8971" max="8971"/>
    <col collapsed="1" width="58.81640625" customWidth="1" style="697" min="8972" max="8972"/>
    <col collapsed="1" width="11" customWidth="1" style="697" min="8973" max="9216"/>
    <col collapsed="1" width="9.7265625" customWidth="1" style="697" min="9217" max="9217"/>
    <col collapsed="1" width="52.7265625" customWidth="1" style="697" min="9218" max="9218"/>
    <col collapsed="1" width="2" customWidth="1" style="697" min="9219" max="9219"/>
    <col collapsed="1" width="1.36328125" customWidth="1" style="697" min="9220" max="9220"/>
    <col collapsed="1" width="0.54296875" customWidth="1" style="697" min="9221" max="9221"/>
    <col collapsed="1" width="3.1796875" customWidth="1" style="697" min="9222" max="9222"/>
    <col collapsed="1" width="1.81640625" customWidth="1" style="697" min="9223" max="9223"/>
    <col collapsed="1" width="1.7265625" customWidth="1" style="697" min="9224" max="9224"/>
    <col collapsed="1" width="0.36328125" customWidth="1" style="697" min="9225" max="9225"/>
    <col collapsed="1" width="2.36328125" customWidth="1" style="697" min="9226" max="9226"/>
    <col collapsed="1" width="31.7265625" customWidth="1" style="697" min="9227" max="9227"/>
    <col collapsed="1" width="58.81640625" customWidth="1" style="697" min="9228" max="9228"/>
    <col collapsed="1" width="11" customWidth="1" style="697" min="9229" max="9472"/>
    <col collapsed="1" width="9.7265625" customWidth="1" style="697" min="9473" max="9473"/>
    <col collapsed="1" width="52.7265625" customWidth="1" style="697" min="9474" max="9474"/>
    <col collapsed="1" width="2" customWidth="1" style="697" min="9475" max="9475"/>
    <col collapsed="1" width="1.36328125" customWidth="1" style="697" min="9476" max="9476"/>
    <col collapsed="1" width="0.54296875" customWidth="1" style="697" min="9477" max="9477"/>
    <col collapsed="1" width="3.1796875" customWidth="1" style="697" min="9478" max="9478"/>
    <col collapsed="1" width="1.81640625" customWidth="1" style="697" min="9479" max="9479"/>
    <col collapsed="1" width="1.7265625" customWidth="1" style="697" min="9480" max="9480"/>
    <col collapsed="1" width="0.36328125" customWidth="1" style="697" min="9481" max="9481"/>
    <col collapsed="1" width="2.36328125" customWidth="1" style="697" min="9482" max="9482"/>
    <col collapsed="1" width="31.7265625" customWidth="1" style="697" min="9483" max="9483"/>
    <col collapsed="1" width="58.81640625" customWidth="1" style="697" min="9484" max="9484"/>
    <col collapsed="1" width="11" customWidth="1" style="697" min="9485" max="9728"/>
    <col collapsed="1" width="9.7265625" customWidth="1" style="697" min="9729" max="9729"/>
    <col collapsed="1" width="52.7265625" customWidth="1" style="697" min="9730" max="9730"/>
    <col collapsed="1" width="2" customWidth="1" style="697" min="9731" max="9731"/>
    <col collapsed="1" width="1.36328125" customWidth="1" style="697" min="9732" max="9732"/>
    <col collapsed="1" width="0.54296875" customWidth="1" style="697" min="9733" max="9733"/>
    <col collapsed="1" width="3.1796875" customWidth="1" style="697" min="9734" max="9734"/>
    <col collapsed="1" width="1.81640625" customWidth="1" style="697" min="9735" max="9735"/>
    <col collapsed="1" width="1.7265625" customWidth="1" style="697" min="9736" max="9736"/>
    <col collapsed="1" width="0.36328125" customWidth="1" style="697" min="9737" max="9737"/>
    <col collapsed="1" width="2.36328125" customWidth="1" style="697" min="9738" max="9738"/>
    <col collapsed="1" width="31.7265625" customWidth="1" style="697" min="9739" max="9739"/>
    <col collapsed="1" width="58.81640625" customWidth="1" style="697" min="9740" max="9740"/>
    <col collapsed="1" width="11" customWidth="1" style="697" min="9741" max="9984"/>
    <col collapsed="1" width="9.7265625" customWidth="1" style="697" min="9985" max="9985"/>
    <col collapsed="1" width="52.7265625" customWidth="1" style="697" min="9986" max="9986"/>
    <col collapsed="1" width="2" customWidth="1" style="697" min="9987" max="9987"/>
    <col collapsed="1" width="1.36328125" customWidth="1" style="697" min="9988" max="9988"/>
    <col collapsed="1" width="0.54296875" customWidth="1" style="697" min="9989" max="9989"/>
    <col collapsed="1" width="3.1796875" customWidth="1" style="697" min="9990" max="9990"/>
    <col collapsed="1" width="1.81640625" customWidth="1" style="697" min="9991" max="9991"/>
    <col collapsed="1" width="1.7265625" customWidth="1" style="697" min="9992" max="9992"/>
    <col collapsed="1" width="0.36328125" customWidth="1" style="697" min="9993" max="9993"/>
    <col collapsed="1" width="2.36328125" customWidth="1" style="697" min="9994" max="9994"/>
    <col collapsed="1" width="31.7265625" customWidth="1" style="697" min="9995" max="9995"/>
    <col collapsed="1" width="58.81640625" customWidth="1" style="697" min="9996" max="9996"/>
    <col collapsed="1" width="11" customWidth="1" style="697" min="9997" max="10240"/>
    <col collapsed="1" width="9.7265625" customWidth="1" style="697" min="10241" max="10241"/>
    <col collapsed="1" width="52.7265625" customWidth="1" style="697" min="10242" max="10242"/>
    <col collapsed="1" width="2" customWidth="1" style="697" min="10243" max="10243"/>
    <col collapsed="1" width="1.36328125" customWidth="1" style="697" min="10244" max="10244"/>
    <col collapsed="1" width="0.54296875" customWidth="1" style="697" min="10245" max="10245"/>
    <col collapsed="1" width="3.1796875" customWidth="1" style="697" min="10246" max="10246"/>
    <col collapsed="1" width="1.81640625" customWidth="1" style="697" min="10247" max="10247"/>
    <col collapsed="1" width="1.7265625" customWidth="1" style="697" min="10248" max="10248"/>
    <col collapsed="1" width="0.36328125" customWidth="1" style="697" min="10249" max="10249"/>
    <col collapsed="1" width="2.36328125" customWidth="1" style="697" min="10250" max="10250"/>
    <col collapsed="1" width="31.7265625" customWidth="1" style="697" min="10251" max="10251"/>
    <col collapsed="1" width="58.81640625" customWidth="1" style="697" min="10252" max="10252"/>
    <col collapsed="1" width="11" customWidth="1" style="697" min="10253" max="10496"/>
    <col collapsed="1" width="9.7265625" customWidth="1" style="697" min="10497" max="10497"/>
    <col collapsed="1" width="52.7265625" customWidth="1" style="697" min="10498" max="10498"/>
    <col collapsed="1" width="2" customWidth="1" style="697" min="10499" max="10499"/>
    <col collapsed="1" width="1.36328125" customWidth="1" style="697" min="10500" max="10500"/>
    <col collapsed="1" width="0.54296875" customWidth="1" style="697" min="10501" max="10501"/>
    <col collapsed="1" width="3.1796875" customWidth="1" style="697" min="10502" max="10502"/>
    <col collapsed="1" width="1.81640625" customWidth="1" style="697" min="10503" max="10503"/>
    <col collapsed="1" width="1.7265625" customWidth="1" style="697" min="10504" max="10504"/>
    <col collapsed="1" width="0.36328125" customWidth="1" style="697" min="10505" max="10505"/>
    <col collapsed="1" width="2.36328125" customWidth="1" style="697" min="10506" max="10506"/>
    <col collapsed="1" width="31.7265625" customWidth="1" style="697" min="10507" max="10507"/>
    <col collapsed="1" width="58.81640625" customWidth="1" style="697" min="10508" max="10508"/>
    <col collapsed="1" width="11" customWidth="1" style="697" min="10509" max="10752"/>
    <col collapsed="1" width="9.7265625" customWidth="1" style="697" min="10753" max="10753"/>
    <col collapsed="1" width="52.7265625" customWidth="1" style="697" min="10754" max="10754"/>
    <col collapsed="1" width="2" customWidth="1" style="697" min="10755" max="10755"/>
    <col collapsed="1" width="1.36328125" customWidth="1" style="697" min="10756" max="10756"/>
    <col collapsed="1" width="0.54296875" customWidth="1" style="697" min="10757" max="10757"/>
    <col collapsed="1" width="3.1796875" customWidth="1" style="697" min="10758" max="10758"/>
    <col collapsed="1" width="1.81640625" customWidth="1" style="697" min="10759" max="10759"/>
    <col collapsed="1" width="1.7265625" customWidth="1" style="697" min="10760" max="10760"/>
    <col collapsed="1" width="0.36328125" customWidth="1" style="697" min="10761" max="10761"/>
    <col collapsed="1" width="2.36328125" customWidth="1" style="697" min="10762" max="10762"/>
    <col collapsed="1" width="31.7265625" customWidth="1" style="697" min="10763" max="10763"/>
    <col collapsed="1" width="58.81640625" customWidth="1" style="697" min="10764" max="10764"/>
    <col collapsed="1" width="11" customWidth="1" style="697" min="10765" max="11008"/>
    <col collapsed="1" width="9.7265625" customWidth="1" style="697" min="11009" max="11009"/>
    <col collapsed="1" width="52.7265625" customWidth="1" style="697" min="11010" max="11010"/>
    <col collapsed="1" width="2" customWidth="1" style="697" min="11011" max="11011"/>
    <col collapsed="1" width="1.36328125" customWidth="1" style="697" min="11012" max="11012"/>
    <col collapsed="1" width="0.54296875" customWidth="1" style="697" min="11013" max="11013"/>
    <col collapsed="1" width="3.1796875" customWidth="1" style="697" min="11014" max="11014"/>
    <col collapsed="1" width="1.81640625" customWidth="1" style="697" min="11015" max="11015"/>
    <col collapsed="1" width="1.7265625" customWidth="1" style="697" min="11016" max="11016"/>
    <col collapsed="1" width="0.36328125" customWidth="1" style="697" min="11017" max="11017"/>
    <col collapsed="1" width="2.36328125" customWidth="1" style="697" min="11018" max="11018"/>
    <col collapsed="1" width="31.7265625" customWidth="1" style="697" min="11019" max="11019"/>
    <col collapsed="1" width="58.81640625" customWidth="1" style="697" min="11020" max="11020"/>
    <col collapsed="1" width="11" customWidth="1" style="697" min="11021" max="11264"/>
    <col collapsed="1" width="9.7265625" customWidth="1" style="697" min="11265" max="11265"/>
    <col collapsed="1" width="52.7265625" customWidth="1" style="697" min="11266" max="11266"/>
    <col collapsed="1" width="2" customWidth="1" style="697" min="11267" max="11267"/>
    <col collapsed="1" width="1.36328125" customWidth="1" style="697" min="11268" max="11268"/>
    <col collapsed="1" width="0.54296875" customWidth="1" style="697" min="11269" max="11269"/>
    <col collapsed="1" width="3.1796875" customWidth="1" style="697" min="11270" max="11270"/>
    <col collapsed="1" width="1.81640625" customWidth="1" style="697" min="11271" max="11271"/>
    <col collapsed="1" width="1.7265625" customWidth="1" style="697" min="11272" max="11272"/>
    <col collapsed="1" width="0.36328125" customWidth="1" style="697" min="11273" max="11273"/>
    <col collapsed="1" width="2.36328125" customWidth="1" style="697" min="11274" max="11274"/>
    <col collapsed="1" width="31.7265625" customWidth="1" style="697" min="11275" max="11275"/>
    <col collapsed="1" width="58.81640625" customWidth="1" style="697" min="11276" max="11276"/>
    <col collapsed="1" width="11" customWidth="1" style="697" min="11277" max="11520"/>
    <col collapsed="1" width="9.7265625" customWidth="1" style="697" min="11521" max="11521"/>
    <col collapsed="1" width="52.7265625" customWidth="1" style="697" min="11522" max="11522"/>
    <col collapsed="1" width="2" customWidth="1" style="697" min="11523" max="11523"/>
    <col collapsed="1" width="1.36328125" customWidth="1" style="697" min="11524" max="11524"/>
    <col collapsed="1" width="0.54296875" customWidth="1" style="697" min="11525" max="11525"/>
    <col collapsed="1" width="3.1796875" customWidth="1" style="697" min="11526" max="11526"/>
    <col collapsed="1" width="1.81640625" customWidth="1" style="697" min="11527" max="11527"/>
    <col collapsed="1" width="1.7265625" customWidth="1" style="697" min="11528" max="11528"/>
    <col collapsed="1" width="0.36328125" customWidth="1" style="697" min="11529" max="11529"/>
    <col collapsed="1" width="2.36328125" customWidth="1" style="697" min="11530" max="11530"/>
    <col collapsed="1" width="31.7265625" customWidth="1" style="697" min="11531" max="11531"/>
    <col collapsed="1" width="58.81640625" customWidth="1" style="697" min="11532" max="11532"/>
    <col collapsed="1" width="11" customWidth="1" style="697" min="11533" max="11776"/>
    <col collapsed="1" width="9.7265625" customWidth="1" style="697" min="11777" max="11777"/>
    <col collapsed="1" width="52.7265625" customWidth="1" style="697" min="11778" max="11778"/>
    <col collapsed="1" width="2" customWidth="1" style="697" min="11779" max="11779"/>
    <col collapsed="1" width="1.36328125" customWidth="1" style="697" min="11780" max="11780"/>
    <col collapsed="1" width="0.54296875" customWidth="1" style="697" min="11781" max="11781"/>
    <col collapsed="1" width="3.1796875" customWidth="1" style="697" min="11782" max="11782"/>
    <col collapsed="1" width="1.81640625" customWidth="1" style="697" min="11783" max="11783"/>
    <col collapsed="1" width="1.7265625" customWidth="1" style="697" min="11784" max="11784"/>
    <col collapsed="1" width="0.36328125" customWidth="1" style="697" min="11785" max="11785"/>
    <col collapsed="1" width="2.36328125" customWidth="1" style="697" min="11786" max="11786"/>
    <col collapsed="1" width="31.7265625" customWidth="1" style="697" min="11787" max="11787"/>
    <col collapsed="1" width="58.81640625" customWidth="1" style="697" min="11788" max="11788"/>
    <col collapsed="1" width="11" customWidth="1" style="697" min="11789" max="12032"/>
    <col collapsed="1" width="9.7265625" customWidth="1" style="697" min="12033" max="12033"/>
    <col collapsed="1" width="52.7265625" customWidth="1" style="697" min="12034" max="12034"/>
    <col collapsed="1" width="2" customWidth="1" style="697" min="12035" max="12035"/>
    <col collapsed="1" width="1.36328125" customWidth="1" style="697" min="12036" max="12036"/>
    <col collapsed="1" width="0.54296875" customWidth="1" style="697" min="12037" max="12037"/>
    <col collapsed="1" width="3.1796875" customWidth="1" style="697" min="12038" max="12038"/>
    <col collapsed="1" width="1.81640625" customWidth="1" style="697" min="12039" max="12039"/>
    <col collapsed="1" width="1.7265625" customWidth="1" style="697" min="12040" max="12040"/>
    <col collapsed="1" width="0.36328125" customWidth="1" style="697" min="12041" max="12041"/>
    <col collapsed="1" width="2.36328125" customWidth="1" style="697" min="12042" max="12042"/>
    <col collapsed="1" width="31.7265625" customWidth="1" style="697" min="12043" max="12043"/>
    <col collapsed="1" width="58.81640625" customWidth="1" style="697" min="12044" max="12044"/>
    <col collapsed="1" width="11" customWidth="1" style="697" min="12045" max="12288"/>
    <col collapsed="1" width="9.7265625" customWidth="1" style="697" min="12289" max="12289"/>
    <col collapsed="1" width="52.7265625" customWidth="1" style="697" min="12290" max="12290"/>
    <col collapsed="1" width="2" customWidth="1" style="697" min="12291" max="12291"/>
    <col collapsed="1" width="1.36328125" customWidth="1" style="697" min="12292" max="12292"/>
    <col collapsed="1" width="0.54296875" customWidth="1" style="697" min="12293" max="12293"/>
    <col collapsed="1" width="3.1796875" customWidth="1" style="697" min="12294" max="12294"/>
    <col collapsed="1" width="1.81640625" customWidth="1" style="697" min="12295" max="12295"/>
    <col collapsed="1" width="1.7265625" customWidth="1" style="697" min="12296" max="12296"/>
    <col collapsed="1" width="0.36328125" customWidth="1" style="697" min="12297" max="12297"/>
    <col collapsed="1" width="2.36328125" customWidth="1" style="697" min="12298" max="12298"/>
    <col collapsed="1" width="31.7265625" customWidth="1" style="697" min="12299" max="12299"/>
    <col collapsed="1" width="58.81640625" customWidth="1" style="697" min="12300" max="12300"/>
    <col collapsed="1" width="11" customWidth="1" style="697" min="12301" max="12544"/>
    <col collapsed="1" width="9.7265625" customWidth="1" style="697" min="12545" max="12545"/>
    <col collapsed="1" width="52.7265625" customWidth="1" style="697" min="12546" max="12546"/>
    <col collapsed="1" width="2" customWidth="1" style="697" min="12547" max="12547"/>
    <col collapsed="1" width="1.36328125" customWidth="1" style="697" min="12548" max="12548"/>
    <col collapsed="1" width="0.54296875" customWidth="1" style="697" min="12549" max="12549"/>
    <col collapsed="1" width="3.1796875" customWidth="1" style="697" min="12550" max="12550"/>
    <col collapsed="1" width="1.81640625" customWidth="1" style="697" min="12551" max="12551"/>
    <col collapsed="1" width="1.7265625" customWidth="1" style="697" min="12552" max="12552"/>
    <col collapsed="1" width="0.36328125" customWidth="1" style="697" min="12553" max="12553"/>
    <col collapsed="1" width="2.36328125" customWidth="1" style="697" min="12554" max="12554"/>
    <col collapsed="1" width="31.7265625" customWidth="1" style="697" min="12555" max="12555"/>
    <col collapsed="1" width="58.81640625" customWidth="1" style="697" min="12556" max="12556"/>
    <col collapsed="1" width="11" customWidth="1" style="697" min="12557" max="12800"/>
    <col collapsed="1" width="9.7265625" customWidth="1" style="697" min="12801" max="12801"/>
    <col collapsed="1" width="52.7265625" customWidth="1" style="697" min="12802" max="12802"/>
    <col collapsed="1" width="2" customWidth="1" style="697" min="12803" max="12803"/>
    <col collapsed="1" width="1.36328125" customWidth="1" style="697" min="12804" max="12804"/>
    <col collapsed="1" width="0.54296875" customWidth="1" style="697" min="12805" max="12805"/>
    <col collapsed="1" width="3.1796875" customWidth="1" style="697" min="12806" max="12806"/>
    <col collapsed="1" width="1.81640625" customWidth="1" style="697" min="12807" max="12807"/>
    <col collapsed="1" width="1.7265625" customWidth="1" style="697" min="12808" max="12808"/>
    <col collapsed="1" width="0.36328125" customWidth="1" style="697" min="12809" max="12809"/>
    <col collapsed="1" width="2.36328125" customWidth="1" style="697" min="12810" max="12810"/>
    <col collapsed="1" width="31.7265625" customWidth="1" style="697" min="12811" max="12811"/>
    <col collapsed="1" width="58.81640625" customWidth="1" style="697" min="12812" max="12812"/>
    <col collapsed="1" width="11" customWidth="1" style="697" min="12813" max="13056"/>
    <col collapsed="1" width="9.7265625" customWidth="1" style="697" min="13057" max="13057"/>
    <col collapsed="1" width="52.7265625" customWidth="1" style="697" min="13058" max="13058"/>
    <col collapsed="1" width="2" customWidth="1" style="697" min="13059" max="13059"/>
    <col collapsed="1" width="1.36328125" customWidth="1" style="697" min="13060" max="13060"/>
    <col collapsed="1" width="0.54296875" customWidth="1" style="697" min="13061" max="13061"/>
    <col collapsed="1" width="3.1796875" customWidth="1" style="697" min="13062" max="13062"/>
    <col collapsed="1" width="1.81640625" customWidth="1" style="697" min="13063" max="13063"/>
    <col collapsed="1" width="1.7265625" customWidth="1" style="697" min="13064" max="13064"/>
    <col collapsed="1" width="0.36328125" customWidth="1" style="697" min="13065" max="13065"/>
    <col collapsed="1" width="2.36328125" customWidth="1" style="697" min="13066" max="13066"/>
    <col collapsed="1" width="31.7265625" customWidth="1" style="697" min="13067" max="13067"/>
    <col collapsed="1" width="58.81640625" customWidth="1" style="697" min="13068" max="13068"/>
    <col collapsed="1" width="11" customWidth="1" style="697" min="13069" max="13312"/>
    <col collapsed="1" width="9.7265625" customWidth="1" style="697" min="13313" max="13313"/>
    <col collapsed="1" width="52.7265625" customWidth="1" style="697" min="13314" max="13314"/>
    <col collapsed="1" width="2" customWidth="1" style="697" min="13315" max="13315"/>
    <col collapsed="1" width="1.36328125" customWidth="1" style="697" min="13316" max="13316"/>
    <col collapsed="1" width="0.54296875" customWidth="1" style="697" min="13317" max="13317"/>
    <col collapsed="1" width="3.1796875" customWidth="1" style="697" min="13318" max="13318"/>
    <col collapsed="1" width="1.81640625" customWidth="1" style="697" min="13319" max="13319"/>
    <col collapsed="1" width="1.7265625" customWidth="1" style="697" min="13320" max="13320"/>
    <col collapsed="1" width="0.36328125" customWidth="1" style="697" min="13321" max="13321"/>
    <col collapsed="1" width="2.36328125" customWidth="1" style="697" min="13322" max="13322"/>
    <col collapsed="1" width="31.7265625" customWidth="1" style="697" min="13323" max="13323"/>
    <col collapsed="1" width="58.81640625" customWidth="1" style="697" min="13324" max="13324"/>
    <col collapsed="1" width="11" customWidth="1" style="697" min="13325" max="13568"/>
    <col collapsed="1" width="9.7265625" customWidth="1" style="697" min="13569" max="13569"/>
    <col collapsed="1" width="52.7265625" customWidth="1" style="697" min="13570" max="13570"/>
    <col collapsed="1" width="2" customWidth="1" style="697" min="13571" max="13571"/>
    <col collapsed="1" width="1.36328125" customWidth="1" style="697" min="13572" max="13572"/>
    <col collapsed="1" width="0.54296875" customWidth="1" style="697" min="13573" max="13573"/>
    <col collapsed="1" width="3.1796875" customWidth="1" style="697" min="13574" max="13574"/>
    <col collapsed="1" width="1.81640625" customWidth="1" style="697" min="13575" max="13575"/>
    <col collapsed="1" width="1.7265625" customWidth="1" style="697" min="13576" max="13576"/>
    <col collapsed="1" width="0.36328125" customWidth="1" style="697" min="13577" max="13577"/>
    <col collapsed="1" width="2.36328125" customWidth="1" style="697" min="13578" max="13578"/>
    <col collapsed="1" width="31.7265625" customWidth="1" style="697" min="13579" max="13579"/>
    <col collapsed="1" width="58.81640625" customWidth="1" style="697" min="13580" max="13580"/>
    <col collapsed="1" width="11" customWidth="1" style="697" min="13581" max="13824"/>
    <col collapsed="1" width="9.7265625" customWidth="1" style="697" min="13825" max="13825"/>
    <col collapsed="1" width="52.7265625" customWidth="1" style="697" min="13826" max="13826"/>
    <col collapsed="1" width="2" customWidth="1" style="697" min="13827" max="13827"/>
    <col collapsed="1" width="1.36328125" customWidth="1" style="697" min="13828" max="13828"/>
    <col collapsed="1" width="0.54296875" customWidth="1" style="697" min="13829" max="13829"/>
    <col collapsed="1" width="3.1796875" customWidth="1" style="697" min="13830" max="13830"/>
    <col collapsed="1" width="1.81640625" customWidth="1" style="697" min="13831" max="13831"/>
    <col collapsed="1" width="1.7265625" customWidth="1" style="697" min="13832" max="13832"/>
    <col collapsed="1" width="0.36328125" customWidth="1" style="697" min="13833" max="13833"/>
    <col collapsed="1" width="2.36328125" customWidth="1" style="697" min="13834" max="13834"/>
    <col collapsed="1" width="31.7265625" customWidth="1" style="697" min="13835" max="13835"/>
    <col collapsed="1" width="58.81640625" customWidth="1" style="697" min="13836" max="13836"/>
    <col collapsed="1" width="11" customWidth="1" style="697" min="13837" max="14080"/>
    <col collapsed="1" width="9.7265625" customWidth="1" style="697" min="14081" max="14081"/>
    <col collapsed="1" width="52.7265625" customWidth="1" style="697" min="14082" max="14082"/>
    <col collapsed="1" width="2" customWidth="1" style="697" min="14083" max="14083"/>
    <col collapsed="1" width="1.36328125" customWidth="1" style="697" min="14084" max="14084"/>
    <col collapsed="1" width="0.54296875" customWidth="1" style="697" min="14085" max="14085"/>
    <col collapsed="1" width="3.1796875" customWidth="1" style="697" min="14086" max="14086"/>
    <col collapsed="1" width="1.81640625" customWidth="1" style="697" min="14087" max="14087"/>
    <col collapsed="1" width="1.7265625" customWidth="1" style="697" min="14088" max="14088"/>
    <col collapsed="1" width="0.36328125" customWidth="1" style="697" min="14089" max="14089"/>
    <col collapsed="1" width="2.36328125" customWidth="1" style="697" min="14090" max="14090"/>
    <col collapsed="1" width="31.7265625" customWidth="1" style="697" min="14091" max="14091"/>
    <col collapsed="1" width="58.81640625" customWidth="1" style="697" min="14092" max="14092"/>
    <col collapsed="1" width="11" customWidth="1" style="697" min="14093" max="14336"/>
    <col collapsed="1" width="9.7265625" customWidth="1" style="697" min="14337" max="14337"/>
    <col collapsed="1" width="52.7265625" customWidth="1" style="697" min="14338" max="14338"/>
    <col collapsed="1" width="2" customWidth="1" style="697" min="14339" max="14339"/>
    <col collapsed="1" width="1.36328125" customWidth="1" style="697" min="14340" max="14340"/>
    <col collapsed="1" width="0.54296875" customWidth="1" style="697" min="14341" max="14341"/>
    <col collapsed="1" width="3.1796875" customWidth="1" style="697" min="14342" max="14342"/>
    <col collapsed="1" width="1.81640625" customWidth="1" style="697" min="14343" max="14343"/>
    <col collapsed="1" width="1.7265625" customWidth="1" style="697" min="14344" max="14344"/>
    <col collapsed="1" width="0.36328125" customWidth="1" style="697" min="14345" max="14345"/>
    <col collapsed="1" width="2.36328125" customWidth="1" style="697" min="14346" max="14346"/>
    <col collapsed="1" width="31.7265625" customWidth="1" style="697" min="14347" max="14347"/>
    <col collapsed="1" width="58.81640625" customWidth="1" style="697" min="14348" max="14348"/>
    <col collapsed="1" width="11" customWidth="1" style="697" min="14349" max="14592"/>
    <col collapsed="1" width="9.7265625" customWidth="1" style="697" min="14593" max="14593"/>
    <col collapsed="1" width="52.7265625" customWidth="1" style="697" min="14594" max="14594"/>
    <col collapsed="1" width="2" customWidth="1" style="697" min="14595" max="14595"/>
    <col collapsed="1" width="1.36328125" customWidth="1" style="697" min="14596" max="14596"/>
    <col collapsed="1" width="0.54296875" customWidth="1" style="697" min="14597" max="14597"/>
    <col collapsed="1" width="3.1796875" customWidth="1" style="697" min="14598" max="14598"/>
    <col collapsed="1" width="1.81640625" customWidth="1" style="697" min="14599" max="14599"/>
    <col collapsed="1" width="1.7265625" customWidth="1" style="697" min="14600" max="14600"/>
    <col collapsed="1" width="0.36328125" customWidth="1" style="697" min="14601" max="14601"/>
    <col collapsed="1" width="2.36328125" customWidth="1" style="697" min="14602" max="14602"/>
    <col collapsed="1" width="31.7265625" customWidth="1" style="697" min="14603" max="14603"/>
    <col collapsed="1" width="58.81640625" customWidth="1" style="697" min="14604" max="14604"/>
    <col collapsed="1" width="11" customWidth="1" style="697" min="14605" max="14848"/>
    <col collapsed="1" width="9.7265625" customWidth="1" style="697" min="14849" max="14849"/>
    <col collapsed="1" width="52.7265625" customWidth="1" style="697" min="14850" max="14850"/>
    <col collapsed="1" width="2" customWidth="1" style="697" min="14851" max="14851"/>
    <col collapsed="1" width="1.36328125" customWidth="1" style="697" min="14852" max="14852"/>
    <col collapsed="1" width="0.54296875" customWidth="1" style="697" min="14853" max="14853"/>
    <col collapsed="1" width="3.1796875" customWidth="1" style="697" min="14854" max="14854"/>
    <col collapsed="1" width="1.81640625" customWidth="1" style="697" min="14855" max="14855"/>
    <col collapsed="1" width="1.7265625" customWidth="1" style="697" min="14856" max="14856"/>
    <col collapsed="1" width="0.36328125" customWidth="1" style="697" min="14857" max="14857"/>
    <col collapsed="1" width="2.36328125" customWidth="1" style="697" min="14858" max="14858"/>
    <col collapsed="1" width="31.7265625" customWidth="1" style="697" min="14859" max="14859"/>
    <col collapsed="1" width="58.81640625" customWidth="1" style="697" min="14860" max="14860"/>
    <col collapsed="1" width="11" customWidth="1" style="697" min="14861" max="15104"/>
    <col collapsed="1" width="9.7265625" customWidth="1" style="697" min="15105" max="15105"/>
    <col collapsed="1" width="52.7265625" customWidth="1" style="697" min="15106" max="15106"/>
    <col collapsed="1" width="2" customWidth="1" style="697" min="15107" max="15107"/>
    <col collapsed="1" width="1.36328125" customWidth="1" style="697" min="15108" max="15108"/>
    <col collapsed="1" width="0.54296875" customWidth="1" style="697" min="15109" max="15109"/>
    <col collapsed="1" width="3.1796875" customWidth="1" style="697" min="15110" max="15110"/>
    <col collapsed="1" width="1.81640625" customWidth="1" style="697" min="15111" max="15111"/>
    <col collapsed="1" width="1.7265625" customWidth="1" style="697" min="15112" max="15112"/>
    <col collapsed="1" width="0.36328125" customWidth="1" style="697" min="15113" max="15113"/>
    <col collapsed="1" width="2.36328125" customWidth="1" style="697" min="15114" max="15114"/>
    <col collapsed="1" width="31.7265625" customWidth="1" style="697" min="15115" max="15115"/>
    <col collapsed="1" width="58.81640625" customWidth="1" style="697" min="15116" max="15116"/>
    <col collapsed="1" width="11" customWidth="1" style="697" min="15117" max="15360"/>
    <col collapsed="1" width="9.7265625" customWidth="1" style="697" min="15361" max="15361"/>
    <col collapsed="1" width="52.7265625" customWidth="1" style="697" min="15362" max="15362"/>
    <col collapsed="1" width="2" customWidth="1" style="697" min="15363" max="15363"/>
    <col collapsed="1" width="1.36328125" customWidth="1" style="697" min="15364" max="15364"/>
    <col collapsed="1" width="0.54296875" customWidth="1" style="697" min="15365" max="15365"/>
    <col collapsed="1" width="3.1796875" customWidth="1" style="697" min="15366" max="15366"/>
    <col collapsed="1" width="1.81640625" customWidth="1" style="697" min="15367" max="15367"/>
    <col collapsed="1" width="1.7265625" customWidth="1" style="697" min="15368" max="15368"/>
    <col collapsed="1" width="0.36328125" customWidth="1" style="697" min="15369" max="15369"/>
    <col collapsed="1" width="2.36328125" customWidth="1" style="697" min="15370" max="15370"/>
    <col collapsed="1" width="31.7265625" customWidth="1" style="697" min="15371" max="15371"/>
    <col collapsed="1" width="58.81640625" customWidth="1" style="697" min="15372" max="15372"/>
    <col collapsed="1" width="11" customWidth="1" style="697" min="15373" max="15616"/>
    <col collapsed="1" width="9.7265625" customWidth="1" style="697" min="15617" max="15617"/>
    <col collapsed="1" width="52.7265625" customWidth="1" style="697" min="15618" max="15618"/>
    <col collapsed="1" width="2" customWidth="1" style="697" min="15619" max="15619"/>
    <col collapsed="1" width="1.36328125" customWidth="1" style="697" min="15620" max="15620"/>
    <col collapsed="1" width="0.54296875" customWidth="1" style="697" min="15621" max="15621"/>
    <col collapsed="1" width="3.1796875" customWidth="1" style="697" min="15622" max="15622"/>
    <col collapsed="1" width="1.81640625" customWidth="1" style="697" min="15623" max="15623"/>
    <col collapsed="1" width="1.7265625" customWidth="1" style="697" min="15624" max="15624"/>
    <col collapsed="1" width="0.36328125" customWidth="1" style="697" min="15625" max="15625"/>
    <col collapsed="1" width="2.36328125" customWidth="1" style="697" min="15626" max="15626"/>
    <col collapsed="1" width="31.7265625" customWidth="1" style="697" min="15627" max="15627"/>
    <col collapsed="1" width="58.81640625" customWidth="1" style="697" min="15628" max="15628"/>
    <col collapsed="1" width="11" customWidth="1" style="697" min="15629" max="15872"/>
    <col collapsed="1" width="9.7265625" customWidth="1" style="697" min="15873" max="15873"/>
    <col collapsed="1" width="52.7265625" customWidth="1" style="697" min="15874" max="15874"/>
    <col collapsed="1" width="2" customWidth="1" style="697" min="15875" max="15875"/>
    <col collapsed="1" width="1.36328125" customWidth="1" style="697" min="15876" max="15876"/>
    <col collapsed="1" width="0.54296875" customWidth="1" style="697" min="15877" max="15877"/>
    <col collapsed="1" width="3.1796875" customWidth="1" style="697" min="15878" max="15878"/>
    <col collapsed="1" width="1.81640625" customWidth="1" style="697" min="15879" max="15879"/>
    <col collapsed="1" width="1.7265625" customWidth="1" style="697" min="15880" max="15880"/>
    <col collapsed="1" width="0.36328125" customWidth="1" style="697" min="15881" max="15881"/>
    <col collapsed="1" width="2.36328125" customWidth="1" style="697" min="15882" max="15882"/>
    <col collapsed="1" width="31.7265625" customWidth="1" style="697" min="15883" max="15883"/>
    <col collapsed="1" width="58.81640625" customWidth="1" style="697" min="15884" max="15884"/>
    <col collapsed="1" width="11" customWidth="1" style="697" min="15885" max="16128"/>
    <col collapsed="1" width="9.7265625" customWidth="1" style="697" min="16129" max="16129"/>
    <col collapsed="1" width="52.7265625" customWidth="1" style="697" min="16130" max="16130"/>
    <col collapsed="1" width="2" customWidth="1" style="697" min="16131" max="16131"/>
    <col collapsed="1" width="1.36328125" customWidth="1" style="697" min="16132" max="16132"/>
    <col collapsed="1" width="0.54296875" customWidth="1" style="697" min="16133" max="16133"/>
    <col collapsed="1" width="3.1796875" customWidth="1" style="697" min="16134" max="16134"/>
    <col collapsed="1" width="1.81640625" customWidth="1" style="697" min="16135" max="16135"/>
    <col collapsed="1" width="1.7265625" customWidth="1" style="697" min="16136" max="16136"/>
    <col collapsed="1" width="0.36328125" customWidth="1" style="697" min="16137" max="16137"/>
    <col collapsed="1" width="2.36328125" customWidth="1" style="697" min="16138" max="16138"/>
    <col collapsed="1" width="31.7265625" customWidth="1" style="697" min="16139" max="16139"/>
    <col collapsed="1" width="58.81640625" customWidth="1" style="697" min="16140" max="16140"/>
    <col collapsed="1" width="11" customWidth="1" style="697" min="16141" max="16384"/>
  </cols>
  <sheetData>
    <row r="1" ht="30" customHeight="1" s="885">
      <c r="A1" s="7" t="n"/>
      <c r="B1" s="7" t="n"/>
      <c r="C1" s="696" t="n"/>
      <c r="D1" s="698" t="n"/>
      <c r="E1" s="696" t="n"/>
      <c r="F1" s="698" t="n"/>
      <c r="G1" s="696" t="n"/>
      <c r="H1" s="695" t="n"/>
      <c r="I1" s="696" t="n"/>
      <c r="J1" s="695" t="n"/>
      <c r="K1" s="8" t="n"/>
      <c r="L1" s="8" t="n"/>
    </row>
    <row r="2" ht="30" customHeight="1" s="885">
      <c r="A2" s="9" t="n"/>
      <c r="B2" s="9" t="n"/>
      <c r="C2" s="886" t="n"/>
      <c r="D2" s="886" t="n"/>
      <c r="E2" s="886" t="n"/>
      <c r="F2" s="886" t="n"/>
      <c r="G2" s="886" t="n"/>
      <c r="H2" s="886" t="n"/>
      <c r="I2" s="886" t="n"/>
      <c r="J2" s="886" t="n"/>
      <c r="K2" s="8" t="n"/>
      <c r="L2" s="8" t="n"/>
    </row>
    <row r="3" ht="30" customHeight="1" s="885">
      <c r="A3" s="10" t="n"/>
      <c r="B3" s="10" t="n"/>
      <c r="C3" s="886" t="n"/>
      <c r="D3" s="886" t="n"/>
      <c r="E3" s="886" t="n"/>
      <c r="F3" s="886" t="n"/>
      <c r="G3" s="886" t="n"/>
      <c r="H3" s="886" t="n"/>
      <c r="I3" s="886" t="n"/>
      <c r="J3" s="886" t="n"/>
      <c r="K3" s="8" t="n"/>
      <c r="L3" s="8" t="n"/>
    </row>
    <row r="4" ht="30" customHeight="1" s="885">
      <c r="A4" s="10" t="n"/>
      <c r="B4" s="10" t="n"/>
      <c r="C4" s="886" t="n"/>
      <c r="D4" s="886" t="n"/>
      <c r="E4" s="886" t="n"/>
      <c r="F4" s="886" t="n"/>
      <c r="G4" s="886" t="n"/>
      <c r="H4" s="886" t="n"/>
      <c r="I4" s="886" t="n"/>
      <c r="J4" s="886" t="n"/>
      <c r="K4" s="8" t="n"/>
      <c r="L4" s="8" t="n"/>
    </row>
    <row r="5" ht="30" customHeight="1" s="885">
      <c r="A5" s="7" t="n"/>
      <c r="B5" s="7" t="n"/>
      <c r="C5" s="886" t="n"/>
      <c r="D5" s="886" t="n"/>
      <c r="E5" s="886" t="n"/>
      <c r="F5" s="886" t="n"/>
      <c r="G5" s="886" t="n"/>
      <c r="H5" s="886" t="n"/>
      <c r="I5" s="886" t="n"/>
      <c r="J5" s="886" t="n"/>
      <c r="K5" s="8" t="n"/>
      <c r="L5" s="8" t="n"/>
    </row>
    <row r="6" ht="30" customHeight="1" s="885">
      <c r="A6" s="7" t="n"/>
      <c r="B6" s="7" t="n"/>
      <c r="C6" s="886" t="n"/>
      <c r="D6" s="886" t="n"/>
      <c r="E6" s="886" t="n"/>
      <c r="F6" s="886" t="n"/>
      <c r="G6" s="886" t="n"/>
      <c r="H6" s="886" t="n"/>
      <c r="I6" s="886" t="n"/>
      <c r="J6" s="886" t="n"/>
      <c r="K6" s="8" t="n"/>
      <c r="L6" s="8" t="n"/>
    </row>
    <row r="7" ht="30" customHeight="1" s="885">
      <c r="A7" s="7" t="n"/>
      <c r="B7" s="7" t="n"/>
      <c r="C7" s="886" t="n"/>
      <c r="D7" s="886" t="n"/>
      <c r="E7" s="886" t="n"/>
      <c r="F7" s="886" t="n"/>
      <c r="G7" s="886" t="n"/>
      <c r="H7" s="886" t="n"/>
      <c r="I7" s="886" t="n"/>
      <c r="J7" s="886" t="n"/>
      <c r="K7" s="8" t="n"/>
      <c r="L7" s="8" t="n"/>
    </row>
    <row r="8" ht="30" customHeight="1" s="885">
      <c r="A8" s="7" t="n"/>
      <c r="B8" s="7" t="n"/>
      <c r="C8" s="886" t="n"/>
      <c r="D8" s="886" t="n"/>
      <c r="E8" s="886" t="n"/>
      <c r="F8" s="886" t="n"/>
      <c r="G8" s="886" t="n"/>
      <c r="H8" s="886" t="n"/>
      <c r="I8" s="886" t="n"/>
      <c r="J8" s="886" t="n"/>
      <c r="K8" s="8" t="n"/>
      <c r="L8" s="8" t="n"/>
    </row>
    <row r="9" ht="30" customHeight="1" s="885">
      <c r="A9" s="7" t="n"/>
      <c r="B9" s="7" t="n"/>
      <c r="C9" s="886" t="n"/>
      <c r="D9" s="886" t="n"/>
      <c r="E9" s="886" t="n"/>
      <c r="F9" s="886" t="n"/>
      <c r="G9" s="886" t="n"/>
      <c r="H9" s="886" t="n"/>
      <c r="I9" s="886" t="n"/>
      <c r="J9" s="886" t="n"/>
      <c r="K9" s="8" t="n"/>
      <c r="L9" s="8" t="n"/>
    </row>
    <row r="10" ht="30" customHeight="1" s="885">
      <c r="A10" s="7" t="n"/>
      <c r="B10" s="7" t="n"/>
      <c r="C10" s="886" t="n"/>
      <c r="D10" s="886" t="n"/>
      <c r="E10" s="886" t="n"/>
      <c r="F10" s="886" t="n"/>
      <c r="G10" s="886" t="n"/>
      <c r="H10" s="886" t="n"/>
      <c r="I10" s="886" t="n"/>
      <c r="J10" s="886" t="n"/>
      <c r="K10" s="8" t="n"/>
      <c r="L10" s="8" t="n"/>
    </row>
    <row r="11" ht="30" customHeight="1" s="885">
      <c r="A11" s="7" t="n"/>
      <c r="B11" s="7" t="n"/>
      <c r="C11" s="886" t="n"/>
      <c r="D11" s="886" t="n"/>
      <c r="E11" s="886" t="n"/>
      <c r="F11" s="886" t="n"/>
      <c r="G11" s="886" t="n"/>
      <c r="H11" s="886" t="n"/>
      <c r="I11" s="886" t="n"/>
      <c r="J11" s="886" t="n"/>
      <c r="K11" s="8" t="n"/>
      <c r="L11" s="8" t="n"/>
    </row>
    <row r="12" ht="30" customHeight="1" s="885">
      <c r="A12" s="11" t="n"/>
      <c r="B12" s="11" t="n"/>
      <c r="C12" s="886" t="n"/>
      <c r="D12" s="886" t="n"/>
      <c r="E12" s="886" t="n"/>
      <c r="F12" s="886" t="n"/>
      <c r="G12" s="886" t="n"/>
      <c r="H12" s="886" t="n"/>
      <c r="I12" s="886" t="n"/>
      <c r="J12" s="886" t="n"/>
      <c r="K12" s="12" t="n"/>
      <c r="L12" s="12" t="n"/>
    </row>
    <row r="13" ht="30" customHeight="1" s="885">
      <c r="A13" s="12" t="n"/>
      <c r="B13" s="12" t="n"/>
      <c r="C13" s="886" t="n"/>
      <c r="D13" s="886" t="n"/>
      <c r="E13" s="886" t="n"/>
      <c r="F13" s="886" t="n"/>
      <c r="G13" s="886" t="n"/>
      <c r="H13" s="886" t="n"/>
      <c r="I13" s="886" t="n"/>
      <c r="J13" s="886" t="n"/>
      <c r="K13" s="12" t="n"/>
      <c r="L13" s="13" t="n"/>
    </row>
    <row r="14" ht="30" customHeight="1" s="885">
      <c r="A14" s="7" t="n"/>
      <c r="B14" s="7" t="n"/>
      <c r="C14" s="886" t="n"/>
      <c r="D14" s="886" t="n"/>
      <c r="E14" s="886" t="n"/>
      <c r="F14" s="886" t="n"/>
      <c r="G14" s="886" t="n"/>
      <c r="H14" s="886" t="n"/>
      <c r="I14" s="886" t="n"/>
      <c r="J14" s="886" t="n"/>
      <c r="K14" s="8" t="n"/>
      <c r="L14" s="8" t="n"/>
    </row>
    <row r="15" ht="30" customHeight="1" s="885">
      <c r="A15" s="14" t="n"/>
      <c r="B15" s="14" t="n"/>
      <c r="C15" s="886" t="n"/>
      <c r="D15" s="886" t="n"/>
      <c r="E15" s="886" t="n"/>
      <c r="F15" s="886" t="n"/>
      <c r="G15" s="886" t="n"/>
      <c r="H15" s="886" t="n"/>
      <c r="I15" s="886" t="n"/>
      <c r="J15" s="886" t="n"/>
      <c r="K15" s="8" t="n"/>
      <c r="L15" s="8" t="n"/>
    </row>
    <row r="16" ht="30" customHeight="1" s="885">
      <c r="A16" s="7" t="n"/>
      <c r="B16" s="7" t="n"/>
      <c r="C16" s="886" t="n"/>
      <c r="D16" s="886" t="n"/>
      <c r="E16" s="886" t="n"/>
      <c r="F16" s="886" t="n"/>
      <c r="G16" s="886" t="n"/>
      <c r="H16" s="886" t="n"/>
      <c r="I16" s="886" t="n"/>
      <c r="J16" s="886" t="n"/>
      <c r="K16" s="8" t="n"/>
      <c r="L16" s="8" t="n"/>
    </row>
    <row r="17" ht="30" customHeight="1" s="885">
      <c r="A17" s="7" t="n"/>
      <c r="B17" s="7" t="n"/>
      <c r="C17" s="886" t="n"/>
      <c r="D17" s="886" t="n"/>
      <c r="E17" s="886" t="n"/>
      <c r="F17" s="886" t="n"/>
      <c r="G17" s="886" t="n"/>
      <c r="H17" s="886" t="n"/>
      <c r="I17" s="886" t="n"/>
      <c r="J17" s="886" t="n"/>
      <c r="K17" s="8" t="n"/>
      <c r="L17" s="8" t="n"/>
    </row>
    <row r="18" ht="30" customHeight="1" s="885">
      <c r="A18" s="7" t="n"/>
      <c r="B18" s="7" t="n"/>
      <c r="C18" s="886" t="n"/>
      <c r="D18" s="886" t="n"/>
      <c r="E18" s="886" t="n"/>
      <c r="F18" s="886" t="n"/>
      <c r="G18" s="886" t="n"/>
      <c r="H18" s="886" t="n"/>
      <c r="I18" s="886" t="n"/>
      <c r="J18" s="886" t="n"/>
      <c r="K18" s="8" t="n"/>
      <c r="L18" s="8" t="n"/>
    </row>
    <row r="19" ht="30" customHeight="1" s="885">
      <c r="A19" s="7" t="n"/>
      <c r="B19" s="7" t="n"/>
      <c r="C19" s="886" t="n"/>
      <c r="D19" s="886" t="n"/>
      <c r="E19" s="886" t="n"/>
      <c r="F19" s="886" t="n"/>
      <c r="G19" s="886" t="n"/>
      <c r="H19" s="886" t="n"/>
      <c r="I19" s="886" t="n"/>
      <c r="J19" s="886" t="n"/>
      <c r="K19" s="8" t="n"/>
      <c r="L19" s="8" t="n"/>
    </row>
    <row r="20" ht="30" customHeight="1" s="885">
      <c r="A20" s="7" t="n"/>
      <c r="B20" s="7" t="n"/>
      <c r="C20" s="886" t="n"/>
      <c r="D20" s="886" t="n"/>
      <c r="E20" s="886" t="n"/>
      <c r="F20" s="886" t="n"/>
      <c r="G20" s="886" t="n"/>
      <c r="H20" s="886" t="n"/>
      <c r="I20" s="886" t="n"/>
      <c r="J20" s="886" t="n"/>
      <c r="K20" s="8" t="n"/>
      <c r="L20" s="8" t="n"/>
    </row>
    <row r="21" ht="30" customHeight="1" s="885">
      <c r="A21" s="7" t="n"/>
      <c r="B21" s="7" t="n"/>
      <c r="C21" s="886" t="n"/>
      <c r="D21" s="886" t="n"/>
      <c r="E21" s="886" t="n"/>
      <c r="F21" s="886" t="n"/>
      <c r="G21" s="886" t="n"/>
      <c r="H21" s="886" t="n"/>
      <c r="I21" s="886" t="n"/>
      <c r="J21" s="886" t="n"/>
      <c r="K21" s="8" t="n"/>
      <c r="L21" s="8" t="n"/>
    </row>
    <row r="22" ht="30" customHeight="1" s="885">
      <c r="A22" s="7" t="n"/>
      <c r="B22" s="7" t="n"/>
      <c r="C22" s="886" t="n"/>
      <c r="D22" s="886" t="n"/>
      <c r="E22" s="886" t="n"/>
      <c r="F22" s="886" t="n"/>
      <c r="G22" s="886" t="n"/>
      <c r="H22" s="886" t="n"/>
      <c r="I22" s="886" t="n"/>
      <c r="J22" s="886" t="n"/>
      <c r="K22" s="8" t="n"/>
      <c r="L22" s="8" t="n"/>
    </row>
    <row r="23" ht="30" customHeight="1" s="885">
      <c r="C23" s="695" t="n"/>
      <c r="D23" s="697" t="n"/>
      <c r="E23" s="695" t="n"/>
      <c r="F23" s="697" t="n"/>
      <c r="G23" s="695" t="n"/>
      <c r="H23" s="698" t="n"/>
      <c r="I23" s="695" t="n"/>
      <c r="J23" s="698" t="n"/>
      <c r="K23" s="15" t="n"/>
      <c r="L23" s="15" t="n"/>
    </row>
    <row r="24" ht="30" customHeight="1" s="885">
      <c r="C24" s="886" t="n"/>
      <c r="D24" s="886" t="n"/>
      <c r="E24" s="886" t="n"/>
      <c r="F24" s="886" t="n"/>
      <c r="G24" s="886" t="n"/>
      <c r="H24" s="886" t="n"/>
      <c r="I24" s="886" t="n"/>
      <c r="J24" s="886" t="n"/>
      <c r="K24" s="15" t="n"/>
    </row>
    <row r="25" ht="30" customHeight="1" s="885"/>
    <row r="26" ht="59.25" customHeight="1" s="885"/>
    <row r="27" ht="59.25" customHeight="1" s="885"/>
    <row r="28" ht="59.25" customHeight="1" s="885"/>
    <row r="29" ht="93" customHeight="1" s="885"/>
    <row r="30" ht="93" customHeight="1" s="885"/>
    <row r="31" ht="133.5" customHeight="1" s="885">
      <c r="C31" s="694" t="inlineStr">
        <is>
          <t xml:space="preserve">FORMULAIRE DE DECLARATION PRUDENTIELLE DES ETABLISSEMENTS DE CREDIT ET DES COMPAGNIES FINANCIERES (FODEP) </t>
        </is>
      </c>
      <c r="D31" s="886" t="n"/>
      <c r="E31" s="886" t="n"/>
      <c r="F31" s="886" t="n"/>
      <c r="G31" s="886" t="n"/>
      <c r="H31" s="886" t="n"/>
      <c r="I31" s="886" t="n"/>
      <c r="J31" s="886" t="n"/>
      <c r="K31" s="886" t="n"/>
      <c r="L31" s="886" t="n"/>
    </row>
    <row r="32" ht="59.25" customHeight="1" s="885"/>
    <row r="33" ht="59.25" customHeight="1" s="885"/>
    <row r="34" ht="59.25" customHeight="1" s="885">
      <c r="C34" s="16" t="n"/>
    </row>
    <row r="35" ht="59.25" customHeight="1" s="885">
      <c r="C35" s="16" t="n"/>
    </row>
    <row r="36" ht="59.25" customHeight="1" s="885">
      <c r="C36" s="697" t="n"/>
    </row>
    <row r="37" ht="59.25" customHeight="1" s="885">
      <c r="C37" s="1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8WMMNktrsndItSu3GxxwJg==" formatRows="1" sort="1" spinCount="100000" hashValue="mfbgwCllST1b9NEMgchcv3FCDhpX0UlJiMY6CX4pqIYsKHHCjxSyJ7uuTAQ8cLGaROC4HxplFidftGE5d8Rjqw=="/>
  <mergeCells count="17">
    <mergeCell ref="E1:E22"/>
    <mergeCell ref="F1:F22"/>
    <mergeCell ref="I1:I22"/>
    <mergeCell ref="C23:C24"/>
    <mergeCell ref="J1:J22"/>
    <mergeCell ref="C31:L31"/>
    <mergeCell ref="G23:G24"/>
    <mergeCell ref="C1:C22"/>
    <mergeCell ref="G1:G22"/>
    <mergeCell ref="D23:D24"/>
    <mergeCell ref="H1:H22"/>
    <mergeCell ref="E23:E24"/>
    <mergeCell ref="H23:H24"/>
    <mergeCell ref="F23:F24"/>
    <mergeCell ref="I23:I24"/>
    <mergeCell ref="J23:J24"/>
    <mergeCell ref="D1:D22"/>
  </mergeCells>
  <pageMargins left="0.708333333333333" right="0.708333333333333" top="0.747916666666667" bottom="0.747916666666667" header="0.511811023622047" footer="0.511811023622047"/>
  <pageSetup orientation="portrait" paperSize="9" scale="46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B52"/>
  <sheetViews>
    <sheetView showGridLines="0" view="pageBreakPreview" topLeftCell="A23" zoomScale="90" zoomScaleNormal="70" zoomScalePageLayoutView="90" workbookViewId="0">
      <selection activeCell="A24" sqref="A24:AE24"/>
    </sheetView>
  </sheetViews>
  <sheetFormatPr baseColWidth="10" defaultColWidth="10" defaultRowHeight="12.75" customHeight="1"/>
  <cols>
    <col collapsed="1" width="4.453125" customWidth="1" style="713" min="1" max="1"/>
    <col collapsed="1" width="2.26953125" customWidth="1" style="713" min="2" max="2"/>
    <col collapsed="1" width="3.90625" customWidth="1" style="713" min="3" max="3"/>
    <col collapsed="1" width="1.7265625" customWidth="1" style="713" min="4" max="12"/>
    <col collapsed="1" width="2.6328125" customWidth="1" style="713" min="13" max="13"/>
    <col collapsed="1" width="1.7265625" customWidth="1" style="713" min="14" max="18"/>
    <col collapsed="1" width="8.6328125" customWidth="1" style="713" min="19" max="19"/>
    <col collapsed="1" width="1.7265625" customWidth="1" style="713" min="20" max="20"/>
    <col collapsed="1" width="7" customWidth="1" style="713" min="21" max="21"/>
    <col collapsed="1" width="1.7265625" customWidth="1" style="713" min="22" max="24"/>
    <col collapsed="1" width="4.26953125" customWidth="1" style="713" min="25" max="25"/>
    <col collapsed="1" width="1.7265625" customWidth="1" style="713" min="26" max="26"/>
    <col collapsed="1" width="2.90625" customWidth="1" style="713" min="27" max="27"/>
    <col collapsed="1" width="3" customWidth="1" style="713" min="28" max="28"/>
    <col collapsed="1" width="1.7265625" customWidth="1" style="713" min="29" max="30"/>
    <col collapsed="1" width="6.6328125" customWidth="1" style="713" min="31" max="31"/>
    <col collapsed="1" width="5.36328125" customWidth="1" style="713" min="32" max="32"/>
    <col collapsed="1" width="10" customWidth="1" style="713" min="33" max="16384"/>
  </cols>
  <sheetData>
    <row r="1" ht="13" customHeight="1" s="885">
      <c r="A1" s="712" t="inlineStr">
        <is>
          <t xml:space="preserve">ATTESTATION DE DECLARATION PRUDENTIELLE </t>
        </is>
      </c>
      <c r="AF1" s="18" t="n"/>
    </row>
    <row r="2" ht="13" customHeight="1" s="885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8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713" t="n"/>
      <c r="X2" s="713" t="n"/>
      <c r="Y2" s="713" t="n"/>
      <c r="Z2" s="713" t="n"/>
      <c r="AA2" s="713" t="n"/>
      <c r="AB2" s="713" t="n"/>
      <c r="AC2" s="713" t="n"/>
      <c r="AD2" s="713" t="n"/>
      <c r="AE2" s="713" t="n"/>
      <c r="AF2" s="713" t="n"/>
    </row>
    <row r="3" ht="12.5" customHeight="1" s="885">
      <c r="A3" s="19" t="n"/>
      <c r="B3" s="19" t="n"/>
      <c r="C3" s="19" t="n"/>
      <c r="D3" s="19" t="n"/>
      <c r="E3" s="19" t="n"/>
      <c r="F3" s="19" t="n"/>
      <c r="G3" s="19" t="n"/>
      <c r="H3" s="714" t="n"/>
      <c r="I3" s="713" t="n"/>
      <c r="J3" s="713" t="n"/>
      <c r="K3" s="713" t="n"/>
      <c r="L3" s="713" t="n"/>
      <c r="M3" s="713" t="n"/>
      <c r="N3" s="713" t="n"/>
      <c r="O3" s="713" t="n"/>
      <c r="P3" s="713" t="n"/>
      <c r="Q3" s="713" t="n"/>
      <c r="R3" s="713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 ht="12.5" customHeight="1" s="885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 ht="12.5" customHeight="1" s="885">
      <c r="A5" s="19" t="inlineStr">
        <is>
          <t>ETAT :</t>
        </is>
      </c>
      <c r="B5" s="19" t="n"/>
      <c r="C5" s="887" t="n"/>
      <c r="D5" s="713" t="n"/>
      <c r="E5" s="713" t="n"/>
      <c r="F5" s="713" t="n"/>
      <c r="G5" s="713" t="n"/>
      <c r="H5" s="713" t="n"/>
      <c r="I5" s="713" t="n"/>
      <c r="J5" s="713" t="n"/>
      <c r="K5" s="713" t="n"/>
      <c r="L5" s="19" t="n"/>
      <c r="M5" s="19" t="n"/>
      <c r="N5" s="19" t="inlineStr">
        <is>
          <t>ETABLISSEMENT :</t>
        </is>
      </c>
      <c r="O5" s="19" t="n"/>
      <c r="P5" s="19" t="n"/>
      <c r="Q5" s="19" t="n"/>
      <c r="R5" s="19" t="n"/>
      <c r="S5" s="19" t="n"/>
      <c r="T5" s="887" t="n"/>
      <c r="U5" s="713" t="n"/>
      <c r="V5" s="713" t="n"/>
      <c r="W5" s="713" t="n"/>
      <c r="X5" s="713" t="n"/>
      <c r="Y5" s="713" t="n"/>
      <c r="Z5" s="713" t="n"/>
      <c r="AA5" s="713" t="n"/>
      <c r="AB5" s="713" t="n"/>
      <c r="AC5" s="713" t="n"/>
      <c r="AD5" s="713" t="n"/>
      <c r="AE5" s="713" t="n"/>
      <c r="AF5" s="19" t="n"/>
    </row>
    <row r="6" ht="12.5" customHeight="1" s="88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 ht="12.5" customHeight="1" s="885">
      <c r="A7" s="19" t="n"/>
      <c r="B7" s="19" t="n"/>
      <c r="C7" s="19" t="n"/>
      <c r="D7" s="888" t="inlineStr">
        <is>
          <t>A</t>
        </is>
      </c>
      <c r="E7" s="888" t="inlineStr">
        <is>
          <t>A</t>
        </is>
      </c>
      <c r="F7" s="888" t="inlineStr">
        <is>
          <t>A</t>
        </is>
      </c>
      <c r="G7" s="888" t="inlineStr">
        <is>
          <t>A</t>
        </is>
      </c>
      <c r="H7" s="888" t="inlineStr">
        <is>
          <t>M</t>
        </is>
      </c>
      <c r="I7" s="888" t="inlineStr">
        <is>
          <t>M</t>
        </is>
      </c>
      <c r="J7" s="19" t="n"/>
      <c r="K7" s="888" t="inlineStr">
        <is>
          <t>J</t>
        </is>
      </c>
      <c r="L7" s="888" t="inlineStr">
        <is>
          <t>J</t>
        </is>
      </c>
      <c r="M7" s="19" t="n"/>
      <c r="N7" s="888" t="n"/>
      <c r="O7" s="888" t="n"/>
      <c r="P7" s="888" t="n"/>
      <c r="Q7" s="888" t="n"/>
      <c r="R7" s="888" t="n"/>
      <c r="S7" s="19" t="n"/>
      <c r="T7" s="888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 ht="12.5" customHeight="1" s="885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 ht="12.5" customHeight="1" s="885">
      <c r="A9" s="19" t="n"/>
      <c r="B9" s="19" t="n"/>
      <c r="C9" s="19" t="n"/>
      <c r="D9" s="19" t="n"/>
      <c r="E9" s="19" t="inlineStr">
        <is>
          <t>Date d'arrêté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C</t>
        </is>
      </c>
      <c r="P9" s="19" t="inlineStr">
        <is>
          <t>I</t>
        </is>
      </c>
      <c r="Q9" s="19" t="inlineStr">
        <is>
          <t>B</t>
        </is>
      </c>
      <c r="R9" s="19" t="n"/>
      <c r="S9" s="19" t="n"/>
      <c r="T9" s="19" t="inlineStr">
        <is>
          <t>LC</t>
        </is>
      </c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 ht="12.5" customHeight="1" s="885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716" t="n"/>
      <c r="V10" s="713" t="n"/>
      <c r="W10" s="713" t="n"/>
      <c r="X10" s="713" t="n"/>
      <c r="Y10" s="713" t="n"/>
      <c r="Z10" s="713" t="n"/>
      <c r="AA10" s="713" t="n"/>
      <c r="AB10" s="713" t="n"/>
      <c r="AC10" s="713" t="n"/>
      <c r="AD10" s="713" t="n"/>
      <c r="AE10" s="713" t="n"/>
      <c r="AF10" s="713" t="n"/>
    </row>
    <row r="11" ht="9.75" customHeight="1" s="885">
      <c r="C11" s="19" t="n"/>
      <c r="D11" s="19" t="n"/>
      <c r="E11" s="19" t="n"/>
      <c r="F11" s="19" t="n"/>
    </row>
    <row r="12" ht="12.75" customFormat="1" customHeight="1" s="710">
      <c r="A12" s="717" t="inlineStr">
        <is>
          <t>Personne-responsable du renseignement du FODEP :</t>
        </is>
      </c>
      <c r="AG12" s="713" t="n"/>
    </row>
    <row r="13" ht="6" customFormat="1" customHeight="1" s="710">
      <c r="A13" s="710" t="n"/>
      <c r="B13" s="713" t="n"/>
      <c r="C13" s="713" t="n"/>
      <c r="D13" s="713" t="n"/>
      <c r="E13" s="713" t="n"/>
      <c r="F13" s="713" t="n"/>
      <c r="G13" s="713" t="n"/>
      <c r="H13" s="713" t="n"/>
      <c r="I13" s="713" t="n"/>
      <c r="J13" s="713" t="n"/>
      <c r="K13" s="713" t="n"/>
      <c r="AG13" s="713" t="n"/>
    </row>
    <row r="14" ht="1.5" customFormat="1" customHeight="1" s="710">
      <c r="A14" s="713" t="n"/>
      <c r="B14" s="713" t="n"/>
      <c r="C14" s="713" t="n"/>
      <c r="D14" s="713" t="n"/>
      <c r="E14" s="713" t="n"/>
      <c r="F14" s="713" t="n"/>
      <c r="G14" s="713" t="n"/>
      <c r="H14" s="713" t="n"/>
      <c r="I14" s="713" t="n"/>
      <c r="J14" s="713" t="n"/>
      <c r="K14" s="713" t="n"/>
      <c r="AG14" s="713" t="n"/>
    </row>
    <row r="15" ht="12.5" customFormat="1" customHeight="1" s="710">
      <c r="A15" s="710" t="n"/>
      <c r="B15" s="713" t="n"/>
      <c r="C15" s="713" t="n"/>
      <c r="D15" s="713" t="n"/>
      <c r="E15" s="713" t="n"/>
      <c r="F15" s="713" t="n"/>
      <c r="G15" s="713" t="n"/>
      <c r="H15" s="713" t="n"/>
      <c r="I15" s="713" t="n"/>
      <c r="J15" s="713" t="n"/>
      <c r="K15" s="713" t="n"/>
      <c r="AG15" s="713" t="n"/>
    </row>
    <row r="16" ht="12.5" customFormat="1" customHeight="1" s="710">
      <c r="A16" s="708" t="n"/>
      <c r="D16" s="709" t="inlineStr">
        <is>
          <t>Prénoms et Nom :</t>
        </is>
      </c>
      <c r="N16" s="889" t="n"/>
      <c r="O16" s="890" t="n"/>
      <c r="P16" s="890" t="n"/>
      <c r="Q16" s="890" t="n"/>
      <c r="R16" s="890" t="n"/>
      <c r="S16" s="890" t="n"/>
      <c r="T16" s="890" t="n"/>
      <c r="U16" s="890" t="n"/>
      <c r="V16" s="890" t="n"/>
      <c r="W16" s="890" t="n"/>
      <c r="X16" s="890" t="n"/>
      <c r="Y16" s="890" t="n"/>
      <c r="Z16" s="890" t="n"/>
      <c r="AA16" s="890" t="n"/>
      <c r="AB16" s="890" t="n"/>
      <c r="AC16" s="890" t="n"/>
      <c r="AD16" s="890" t="n"/>
      <c r="AE16" s="890" t="n"/>
      <c r="AG16" s="713" t="n"/>
    </row>
    <row r="17" ht="12.5" customFormat="1" customHeight="1" s="710">
      <c r="A17" s="708" t="n"/>
      <c r="L17" s="22" t="n"/>
      <c r="M17" s="22" t="n"/>
      <c r="AG17" s="713" t="n"/>
    </row>
    <row r="18" ht="12.5" customFormat="1" customHeight="1" s="710">
      <c r="A18" s="708" t="n"/>
      <c r="D18" s="709" t="inlineStr">
        <is>
          <t>Fonction :</t>
        </is>
      </c>
      <c r="N18" s="889" t="n"/>
      <c r="O18" s="890" t="n"/>
      <c r="P18" s="890" t="n"/>
      <c r="Q18" s="890" t="n"/>
      <c r="R18" s="890" t="n"/>
      <c r="S18" s="890" t="n"/>
      <c r="T18" s="890" t="n"/>
      <c r="U18" s="890" t="n"/>
      <c r="V18" s="890" t="n"/>
      <c r="W18" s="890" t="n"/>
      <c r="X18" s="890" t="n"/>
      <c r="Y18" s="890" t="n"/>
      <c r="Z18" s="890" t="n"/>
      <c r="AA18" s="890" t="n"/>
      <c r="AB18" s="890" t="n"/>
      <c r="AC18" s="890" t="n"/>
      <c r="AD18" s="890" t="n"/>
      <c r="AE18" s="890" t="n"/>
    </row>
    <row r="19" ht="12.5" customFormat="1" customHeight="1" s="710">
      <c r="A19" s="708" t="n"/>
      <c r="L19" s="22" t="n"/>
      <c r="M19" s="22" t="n"/>
    </row>
    <row r="20" ht="12.5" customFormat="1" customHeight="1" s="710">
      <c r="A20" s="708" t="n"/>
      <c r="D20" s="709" t="inlineStr">
        <is>
          <t>Téléphone :</t>
        </is>
      </c>
      <c r="N20" s="889" t="n"/>
      <c r="O20" s="890" t="n"/>
      <c r="P20" s="890" t="n"/>
      <c r="Q20" s="890" t="n"/>
      <c r="R20" s="890" t="n"/>
      <c r="S20" s="890" t="n"/>
      <c r="T20" s="890" t="n"/>
      <c r="U20" s="890" t="n"/>
      <c r="Y20" s="710" t="inlineStr">
        <is>
          <t>Poste :</t>
        </is>
      </c>
      <c r="Z20" s="713" t="n"/>
      <c r="AA20" s="713" t="n"/>
      <c r="AB20" s="891" t="n"/>
      <c r="AC20" s="890" t="n"/>
      <c r="AD20" s="890" t="n"/>
      <c r="AE20" s="890" t="n"/>
    </row>
    <row r="21" ht="12.5" customFormat="1" customHeight="1" s="710">
      <c r="A21" s="708" t="n"/>
      <c r="L21" s="22" t="n"/>
      <c r="M21" s="22" t="n"/>
    </row>
    <row r="22" ht="12.5" customFormat="1" customHeight="1" s="710">
      <c r="A22" s="708" t="n"/>
      <c r="D22" s="709" t="inlineStr">
        <is>
          <t>E-mail :</t>
        </is>
      </c>
      <c r="N22" s="889" t="n"/>
      <c r="O22" s="890" t="n"/>
      <c r="P22" s="890" t="n"/>
      <c r="Q22" s="890" t="n"/>
      <c r="R22" s="890" t="n"/>
      <c r="S22" s="890" t="n"/>
      <c r="T22" s="890" t="n"/>
      <c r="U22" s="890" t="n"/>
      <c r="V22" s="890" t="n"/>
      <c r="W22" s="890" t="n"/>
      <c r="X22" s="890" t="n"/>
      <c r="Y22" s="890" t="n"/>
      <c r="Z22" s="890" t="n"/>
      <c r="AA22" s="890" t="n"/>
      <c r="AB22" s="890" t="n"/>
      <c r="AC22" s="890" t="n"/>
      <c r="AD22" s="890" t="n"/>
      <c r="AE22" s="890" t="n"/>
    </row>
    <row r="23" ht="21.75" customFormat="1" customHeight="1" s="710">
      <c r="A23" s="710" t="n"/>
      <c r="B23" s="713" t="n"/>
      <c r="C23" s="713" t="n"/>
      <c r="D23" s="713" t="n"/>
      <c r="E23" s="713" t="n"/>
      <c r="F23" s="713" t="n"/>
      <c r="G23" s="713" t="n"/>
      <c r="H23" s="713" t="n"/>
      <c r="I23" s="713" t="n"/>
      <c r="J23" s="713" t="n"/>
      <c r="K23" s="713" t="n"/>
    </row>
    <row r="24" ht="15.75" customFormat="1" customHeight="1" s="710">
      <c r="A24" s="711" t="inlineStr">
        <is>
          <t>Personne-responsable de la transmission du FODEP à la plateforme de reporting BCEAO</t>
        </is>
      </c>
    </row>
    <row r="25" ht="6" customFormat="1" customHeight="1" s="710">
      <c r="A25" s="710" t="n"/>
      <c r="B25" s="713" t="n"/>
      <c r="C25" s="713" t="n"/>
      <c r="D25" s="713" t="n"/>
      <c r="E25" s="713" t="n"/>
      <c r="F25" s="713" t="n"/>
      <c r="G25" s="713" t="n"/>
      <c r="H25" s="713" t="n"/>
      <c r="I25" s="713" t="n"/>
      <c r="J25" s="713" t="n"/>
      <c r="K25" s="713" t="n"/>
      <c r="L25" s="710" t="n"/>
      <c r="M25" s="713" t="n"/>
      <c r="N25" s="713" t="n"/>
      <c r="O25" s="713" t="n"/>
      <c r="P25" s="713" t="n"/>
      <c r="Q25" s="713" t="n"/>
      <c r="R25" s="713" t="n"/>
      <c r="S25" s="713" t="n"/>
      <c r="T25" s="713" t="n"/>
      <c r="U25" s="713" t="n"/>
      <c r="V25" s="713" t="n"/>
      <c r="W25" s="713" t="n"/>
      <c r="X25" s="713" t="n"/>
      <c r="Y25" s="713" t="n"/>
      <c r="Z25" s="71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710" t="n"/>
      <c r="AQ25" s="713" t="n"/>
      <c r="AR25" s="713" t="n"/>
      <c r="AS25" s="713" t="n"/>
      <c r="AT25" s="713" t="n"/>
      <c r="AU25" s="713" t="n"/>
      <c r="AV25" s="713" t="n"/>
      <c r="AW25" s="713" t="n"/>
      <c r="AX25" s="713" t="n"/>
      <c r="AY25" s="713" t="n"/>
      <c r="AZ25" s="713" t="n"/>
      <c r="BA25" s="713" t="n"/>
      <c r="BB25" s="713" t="n"/>
      <c r="BC25" s="713" t="n"/>
      <c r="BD25" s="713" t="n"/>
      <c r="BE25" s="710" t="n"/>
      <c r="BF25" s="713" t="n"/>
      <c r="BG25" s="713" t="n"/>
      <c r="BH25" s="713" t="n"/>
      <c r="BI25" s="713" t="n"/>
      <c r="BJ25" s="713" t="n"/>
      <c r="BK25" s="713" t="n"/>
      <c r="BL25" s="713" t="n"/>
      <c r="BM25" s="713" t="n"/>
      <c r="BN25" s="713" t="n"/>
      <c r="BO25" s="713" t="n"/>
      <c r="BP25" s="713" t="n"/>
      <c r="BQ25" s="713" t="n"/>
      <c r="BR25" s="713" t="n"/>
      <c r="BS25" s="713" t="n"/>
      <c r="BT25" s="710" t="n"/>
      <c r="BU25" s="713" t="n"/>
      <c r="BV25" s="713" t="n"/>
      <c r="BW25" s="713" t="n"/>
      <c r="BX25" s="713" t="n"/>
      <c r="BY25" s="713" t="n"/>
      <c r="BZ25" s="713" t="n"/>
      <c r="CA25" s="713" t="n"/>
      <c r="CB25" s="713" t="n"/>
      <c r="CC25" s="713" t="n"/>
      <c r="CD25" s="713" t="n"/>
      <c r="CE25" s="713" t="n"/>
      <c r="CF25" s="713" t="n"/>
      <c r="CG25" s="713" t="n"/>
      <c r="CH25" s="713" t="n"/>
      <c r="CI25" s="710" t="n"/>
      <c r="CJ25" s="713" t="n"/>
      <c r="CK25" s="713" t="n"/>
      <c r="CL25" s="713" t="n"/>
      <c r="CM25" s="713" t="n"/>
      <c r="CN25" s="713" t="n"/>
      <c r="CO25" s="713" t="n"/>
      <c r="CP25" s="713" t="n"/>
      <c r="CQ25" s="713" t="n"/>
      <c r="CR25" s="713" t="n"/>
      <c r="CS25" s="713" t="n"/>
      <c r="CT25" s="713" t="n"/>
      <c r="CU25" s="713" t="n"/>
      <c r="CV25" s="713" t="n"/>
      <c r="CW25" s="713" t="n"/>
      <c r="CX25" s="710" t="n"/>
      <c r="CY25" s="713" t="n"/>
      <c r="CZ25" s="713" t="n"/>
      <c r="DA25" s="713" t="n"/>
      <c r="DB25" s="713" t="n"/>
      <c r="DC25" s="713" t="n"/>
      <c r="DD25" s="713" t="n"/>
      <c r="DE25" s="713" t="n"/>
      <c r="DF25" s="713" t="n"/>
      <c r="DG25" s="713" t="n"/>
      <c r="DH25" s="713" t="n"/>
      <c r="DI25" s="713" t="n"/>
      <c r="DJ25" s="713" t="n"/>
      <c r="DK25" s="713" t="n"/>
      <c r="DL25" s="713" t="n"/>
      <c r="DM25" s="710" t="n"/>
      <c r="DN25" s="713" t="n"/>
      <c r="DO25" s="713" t="n"/>
      <c r="DP25" s="713" t="n"/>
      <c r="DQ25" s="713" t="n"/>
      <c r="DR25" s="713" t="n"/>
      <c r="DS25" s="713" t="n"/>
      <c r="DT25" s="713" t="n"/>
      <c r="DU25" s="713" t="n"/>
      <c r="DV25" s="713" t="n"/>
      <c r="DW25" s="713" t="n"/>
      <c r="DX25" s="713" t="n"/>
      <c r="DY25" s="713" t="n"/>
      <c r="DZ25" s="713" t="n"/>
      <c r="EA25" s="713" t="n"/>
      <c r="EB25" s="710" t="n"/>
      <c r="EC25" s="713" t="n"/>
      <c r="ED25" s="713" t="n"/>
      <c r="EE25" s="713" t="n"/>
      <c r="EF25" s="713" t="n"/>
      <c r="EG25" s="713" t="n"/>
      <c r="EH25" s="713" t="n"/>
      <c r="EI25" s="713" t="n"/>
      <c r="EJ25" s="713" t="n"/>
      <c r="EK25" s="713" t="n"/>
      <c r="EL25" s="713" t="n"/>
      <c r="EM25" s="713" t="n"/>
      <c r="EN25" s="713" t="n"/>
      <c r="EO25" s="713" t="n"/>
      <c r="EP25" s="713" t="n"/>
      <c r="EQ25" s="710" t="n"/>
      <c r="ER25" s="713" t="n"/>
      <c r="ES25" s="713" t="n"/>
      <c r="ET25" s="713" t="n"/>
      <c r="EU25" s="713" t="n"/>
      <c r="EV25" s="713" t="n"/>
      <c r="EW25" s="713" t="n"/>
      <c r="EX25" s="713" t="n"/>
      <c r="EY25" s="713" t="n"/>
      <c r="EZ25" s="713" t="n"/>
      <c r="FA25" s="713" t="n"/>
      <c r="FB25" s="713" t="n"/>
      <c r="FC25" s="713" t="n"/>
      <c r="FD25" s="713" t="n"/>
      <c r="FE25" s="713" t="n"/>
      <c r="FF25" s="710" t="n"/>
      <c r="FG25" s="713" t="n"/>
      <c r="FH25" s="713" t="n"/>
      <c r="FI25" s="713" t="n"/>
      <c r="FJ25" s="713" t="n"/>
      <c r="FK25" s="713" t="n"/>
      <c r="FL25" s="713" t="n"/>
      <c r="FM25" s="713" t="n"/>
      <c r="FN25" s="713" t="n"/>
      <c r="FO25" s="713" t="n"/>
      <c r="FP25" s="713" t="n"/>
      <c r="FQ25" s="713" t="n"/>
      <c r="FR25" s="713" t="n"/>
      <c r="FS25" s="713" t="n"/>
      <c r="FT25" s="713" t="n"/>
      <c r="FU25" s="710" t="n"/>
      <c r="FV25" s="713" t="n"/>
      <c r="FW25" s="713" t="n"/>
      <c r="FX25" s="713" t="n"/>
      <c r="FY25" s="713" t="n"/>
      <c r="FZ25" s="713" t="n"/>
      <c r="GA25" s="713" t="n"/>
      <c r="GB25" s="713" t="n"/>
      <c r="GC25" s="713" t="n"/>
      <c r="GD25" s="713" t="n"/>
      <c r="GE25" s="713" t="n"/>
      <c r="GF25" s="713" t="n"/>
      <c r="GG25" s="713" t="n"/>
      <c r="GH25" s="713" t="n"/>
      <c r="GI25" s="713" t="n"/>
      <c r="GJ25" s="710" t="n"/>
      <c r="GK25" s="713" t="n"/>
      <c r="GL25" s="713" t="n"/>
      <c r="GM25" s="713" t="n"/>
      <c r="GN25" s="713" t="n"/>
      <c r="GO25" s="713" t="n"/>
      <c r="GP25" s="713" t="n"/>
      <c r="GQ25" s="713" t="n"/>
      <c r="GR25" s="713" t="n"/>
      <c r="GS25" s="713" t="n"/>
      <c r="GT25" s="713" t="n"/>
      <c r="GU25" s="713" t="n"/>
      <c r="GV25" s="713" t="n"/>
      <c r="GW25" s="713" t="n"/>
      <c r="GX25" s="713" t="n"/>
      <c r="GY25" s="710" t="n"/>
      <c r="GZ25" s="713" t="n"/>
      <c r="HA25" s="713" t="n"/>
      <c r="HB25" s="713" t="n"/>
      <c r="HC25" s="713" t="n"/>
      <c r="HD25" s="713" t="n"/>
      <c r="HE25" s="713" t="n"/>
      <c r="HF25" s="713" t="n"/>
      <c r="HG25" s="713" t="n"/>
      <c r="HH25" s="713" t="n"/>
      <c r="HI25" s="713" t="n"/>
      <c r="HJ25" s="713" t="n"/>
      <c r="HK25" s="713" t="n"/>
      <c r="HL25" s="713" t="n"/>
      <c r="HM25" s="713" t="n"/>
      <c r="HN25" s="710" t="n"/>
      <c r="HO25" s="713" t="n"/>
      <c r="HP25" s="713" t="n"/>
      <c r="HQ25" s="713" t="n"/>
      <c r="HR25" s="713" t="n"/>
      <c r="HS25" s="713" t="n"/>
      <c r="HT25" s="713" t="n"/>
      <c r="HU25" s="713" t="n"/>
      <c r="HV25" s="713" t="n"/>
      <c r="HW25" s="713" t="n"/>
      <c r="HX25" s="713" t="n"/>
      <c r="HY25" s="713" t="n"/>
      <c r="HZ25" s="713" t="n"/>
      <c r="IA25" s="713" t="n"/>
      <c r="IB25" s="713" t="n"/>
      <c r="IC25" s="710" t="n"/>
      <c r="ID25" s="713" t="n"/>
      <c r="IE25" s="713" t="n"/>
      <c r="IF25" s="713" t="n"/>
      <c r="IG25" s="713" t="n"/>
      <c r="IH25" s="713" t="n"/>
      <c r="II25" s="713" t="n"/>
      <c r="IJ25" s="713" t="n"/>
      <c r="IK25" s="713" t="n"/>
      <c r="IL25" s="713" t="n"/>
      <c r="IM25" s="713" t="n"/>
      <c r="IN25" s="713" t="n"/>
      <c r="IO25" s="713" t="n"/>
      <c r="IP25" s="713" t="n"/>
      <c r="IQ25" s="713" t="n"/>
      <c r="IR25" s="710" t="n"/>
      <c r="IS25" s="713" t="n"/>
      <c r="IT25" s="713" t="n"/>
      <c r="IU25" s="713" t="n"/>
      <c r="IV25" s="713" t="n"/>
      <c r="IW25" s="713" t="n"/>
      <c r="IX25" s="713" t="n"/>
      <c r="IY25" s="713" t="n"/>
      <c r="IZ25" s="713" t="n"/>
      <c r="JA25" s="713" t="n"/>
      <c r="JB25" s="713" t="n"/>
      <c r="JC25" s="713" t="n"/>
      <c r="JD25" s="713" t="n"/>
      <c r="JE25" s="713" t="n"/>
      <c r="JF25" s="713" t="n"/>
      <c r="JG25" s="710" t="n"/>
      <c r="JH25" s="713" t="n"/>
      <c r="JI25" s="713" t="n"/>
      <c r="JJ25" s="713" t="n"/>
      <c r="JK25" s="713" t="n"/>
      <c r="JL25" s="713" t="n"/>
      <c r="JM25" s="713" t="n"/>
      <c r="JN25" s="713" t="n"/>
      <c r="JO25" s="713" t="n"/>
      <c r="JP25" s="713" t="n"/>
      <c r="JQ25" s="713" t="n"/>
      <c r="JR25" s="713" t="n"/>
      <c r="JS25" s="713" t="n"/>
      <c r="JT25" s="713" t="n"/>
      <c r="JU25" s="713" t="n"/>
      <c r="JV25" s="710" t="n"/>
      <c r="JW25" s="713" t="n"/>
      <c r="JX25" s="713" t="n"/>
      <c r="JY25" s="713" t="n"/>
      <c r="JZ25" s="713" t="n"/>
      <c r="KA25" s="713" t="n"/>
      <c r="KB25" s="713" t="n"/>
      <c r="KC25" s="713" t="n"/>
      <c r="KD25" s="713" t="n"/>
      <c r="KE25" s="713" t="n"/>
      <c r="KF25" s="713" t="n"/>
      <c r="KG25" s="713" t="n"/>
      <c r="KH25" s="713" t="n"/>
      <c r="KI25" s="713" t="n"/>
      <c r="KJ25" s="713" t="n"/>
      <c r="KK25" s="710" t="n"/>
      <c r="KL25" s="713" t="n"/>
      <c r="KM25" s="713" t="n"/>
      <c r="KN25" s="713" t="n"/>
      <c r="KO25" s="713" t="n"/>
      <c r="KP25" s="713" t="n"/>
      <c r="KQ25" s="713" t="n"/>
      <c r="KR25" s="713" t="n"/>
      <c r="KS25" s="713" t="n"/>
      <c r="KT25" s="713" t="n"/>
      <c r="KU25" s="713" t="n"/>
      <c r="KV25" s="713" t="n"/>
      <c r="KW25" s="713" t="n"/>
      <c r="KX25" s="713" t="n"/>
      <c r="KY25" s="713" t="n"/>
      <c r="KZ25" s="710" t="n"/>
      <c r="LA25" s="713" t="n"/>
      <c r="LB25" s="713" t="n"/>
      <c r="LC25" s="713" t="n"/>
      <c r="LD25" s="713" t="n"/>
      <c r="LE25" s="713" t="n"/>
      <c r="LF25" s="713" t="n"/>
      <c r="LG25" s="713" t="n"/>
      <c r="LH25" s="713" t="n"/>
      <c r="LI25" s="713" t="n"/>
      <c r="LJ25" s="713" t="n"/>
      <c r="LK25" s="713" t="n"/>
      <c r="LL25" s="713" t="n"/>
      <c r="LM25" s="713" t="n"/>
      <c r="LN25" s="713" t="n"/>
      <c r="LO25" s="710" t="n"/>
      <c r="LP25" s="713" t="n"/>
      <c r="LQ25" s="713" t="n"/>
      <c r="LR25" s="713" t="n"/>
      <c r="LS25" s="713" t="n"/>
      <c r="LT25" s="713" t="n"/>
      <c r="LU25" s="713" t="n"/>
      <c r="LV25" s="713" t="n"/>
      <c r="LW25" s="713" t="n"/>
      <c r="LX25" s="713" t="n"/>
      <c r="LY25" s="713" t="n"/>
      <c r="LZ25" s="713" t="n"/>
      <c r="MA25" s="713" t="n"/>
      <c r="MB25" s="713" t="n"/>
      <c r="MC25" s="713" t="n"/>
      <c r="MD25" s="710" t="n"/>
      <c r="ME25" s="713" t="n"/>
      <c r="MF25" s="713" t="n"/>
      <c r="MG25" s="713" t="n"/>
      <c r="MH25" s="713" t="n"/>
      <c r="MI25" s="713" t="n"/>
      <c r="MJ25" s="713" t="n"/>
      <c r="MK25" s="713" t="n"/>
      <c r="ML25" s="713" t="n"/>
      <c r="MM25" s="713" t="n"/>
      <c r="MN25" s="713" t="n"/>
      <c r="MO25" s="713" t="n"/>
      <c r="MP25" s="713" t="n"/>
      <c r="MQ25" s="713" t="n"/>
      <c r="MR25" s="713" t="n"/>
      <c r="MS25" s="710" t="n"/>
      <c r="MT25" s="713" t="n"/>
      <c r="MU25" s="713" t="n"/>
      <c r="MV25" s="713" t="n"/>
      <c r="MW25" s="713" t="n"/>
      <c r="MX25" s="713" t="n"/>
      <c r="MY25" s="713" t="n"/>
      <c r="MZ25" s="713" t="n"/>
      <c r="NA25" s="713" t="n"/>
      <c r="NB25" s="713" t="n"/>
      <c r="NC25" s="713" t="n"/>
      <c r="ND25" s="713" t="n"/>
      <c r="NE25" s="713" t="n"/>
      <c r="NF25" s="713" t="n"/>
      <c r="NG25" s="713" t="n"/>
      <c r="NH25" s="710" t="n"/>
      <c r="NI25" s="713" t="n"/>
      <c r="NJ25" s="713" t="n"/>
      <c r="NK25" s="713" t="n"/>
      <c r="NL25" s="713" t="n"/>
      <c r="NM25" s="713" t="n"/>
      <c r="NN25" s="713" t="n"/>
      <c r="NO25" s="713" t="n"/>
      <c r="NP25" s="713" t="n"/>
      <c r="NQ25" s="713" t="n"/>
      <c r="NR25" s="713" t="n"/>
      <c r="NS25" s="713" t="n"/>
      <c r="NT25" s="713" t="n"/>
      <c r="NU25" s="713" t="n"/>
      <c r="NV25" s="713" t="n"/>
      <c r="NW25" s="710" t="n"/>
      <c r="NX25" s="713" t="n"/>
      <c r="NY25" s="713" t="n"/>
      <c r="NZ25" s="713" t="n"/>
      <c r="OA25" s="713" t="n"/>
      <c r="OB25" s="713" t="n"/>
      <c r="OC25" s="713" t="n"/>
      <c r="OD25" s="713" t="n"/>
      <c r="OE25" s="713" t="n"/>
      <c r="OF25" s="713" t="n"/>
      <c r="OG25" s="713" t="n"/>
      <c r="OH25" s="713" t="n"/>
      <c r="OI25" s="713" t="n"/>
      <c r="OJ25" s="713" t="n"/>
      <c r="OK25" s="713" t="n"/>
      <c r="OL25" s="710" t="n"/>
      <c r="OM25" s="713" t="n"/>
      <c r="ON25" s="713" t="n"/>
      <c r="OO25" s="713" t="n"/>
      <c r="OP25" s="713" t="n"/>
      <c r="OQ25" s="713" t="n"/>
      <c r="OR25" s="713" t="n"/>
      <c r="OS25" s="713" t="n"/>
      <c r="OT25" s="713" t="n"/>
      <c r="OU25" s="713" t="n"/>
      <c r="OV25" s="713" t="n"/>
      <c r="OW25" s="713" t="n"/>
      <c r="OX25" s="713" t="n"/>
      <c r="OY25" s="713" t="n"/>
      <c r="OZ25" s="713" t="n"/>
      <c r="PA25" s="710" t="n"/>
      <c r="PB25" s="713" t="n"/>
      <c r="PC25" s="713" t="n"/>
      <c r="PD25" s="713" t="n"/>
      <c r="PE25" s="713" t="n"/>
      <c r="PF25" s="713" t="n"/>
      <c r="PG25" s="713" t="n"/>
      <c r="PH25" s="713" t="n"/>
      <c r="PI25" s="713" t="n"/>
      <c r="PJ25" s="713" t="n"/>
      <c r="PK25" s="713" t="n"/>
      <c r="PL25" s="713" t="n"/>
      <c r="PM25" s="713" t="n"/>
      <c r="PN25" s="713" t="n"/>
      <c r="PO25" s="713" t="n"/>
      <c r="PP25" s="710" t="n"/>
      <c r="PQ25" s="713" t="n"/>
      <c r="PR25" s="713" t="n"/>
      <c r="PS25" s="713" t="n"/>
      <c r="PT25" s="713" t="n"/>
      <c r="PU25" s="713" t="n"/>
      <c r="PV25" s="713" t="n"/>
      <c r="PW25" s="713" t="n"/>
      <c r="PX25" s="713" t="n"/>
      <c r="PY25" s="713" t="n"/>
      <c r="PZ25" s="713" t="n"/>
      <c r="QA25" s="713" t="n"/>
      <c r="QB25" s="713" t="n"/>
      <c r="QC25" s="713" t="n"/>
      <c r="QD25" s="713" t="n"/>
      <c r="QE25" s="710" t="n"/>
      <c r="QF25" s="713" t="n"/>
      <c r="QG25" s="713" t="n"/>
      <c r="QH25" s="713" t="n"/>
      <c r="QI25" s="713" t="n"/>
      <c r="QJ25" s="713" t="n"/>
      <c r="QK25" s="713" t="n"/>
      <c r="QL25" s="713" t="n"/>
      <c r="QM25" s="713" t="n"/>
      <c r="QN25" s="713" t="n"/>
      <c r="QO25" s="713" t="n"/>
      <c r="QP25" s="713" t="n"/>
      <c r="QQ25" s="713" t="n"/>
      <c r="QR25" s="713" t="n"/>
      <c r="QS25" s="713" t="n"/>
      <c r="QT25" s="710" t="n"/>
      <c r="QU25" s="713" t="n"/>
      <c r="QV25" s="713" t="n"/>
      <c r="QW25" s="713" t="n"/>
      <c r="QX25" s="713" t="n"/>
      <c r="QY25" s="713" t="n"/>
      <c r="QZ25" s="713" t="n"/>
      <c r="RA25" s="713" t="n"/>
      <c r="RB25" s="713" t="n"/>
      <c r="RC25" s="713" t="n"/>
      <c r="RD25" s="713" t="n"/>
      <c r="RE25" s="713" t="n"/>
      <c r="RF25" s="713" t="n"/>
      <c r="RG25" s="713" t="n"/>
      <c r="RH25" s="713" t="n"/>
      <c r="RI25" s="710" t="n"/>
      <c r="RJ25" s="713" t="n"/>
      <c r="RK25" s="713" t="n"/>
      <c r="RL25" s="713" t="n"/>
      <c r="RM25" s="713" t="n"/>
      <c r="RN25" s="713" t="n"/>
      <c r="RO25" s="713" t="n"/>
      <c r="RP25" s="713" t="n"/>
      <c r="RQ25" s="713" t="n"/>
      <c r="RR25" s="713" t="n"/>
      <c r="RS25" s="713" t="n"/>
      <c r="RT25" s="713" t="n"/>
      <c r="RU25" s="713" t="n"/>
      <c r="RV25" s="713" t="n"/>
      <c r="RW25" s="713" t="n"/>
      <c r="RX25" s="710" t="n"/>
      <c r="RY25" s="713" t="n"/>
      <c r="RZ25" s="713" t="n"/>
      <c r="SA25" s="713" t="n"/>
      <c r="SB25" s="713" t="n"/>
      <c r="SC25" s="713" t="n"/>
      <c r="SD25" s="713" t="n"/>
      <c r="SE25" s="713" t="n"/>
      <c r="SF25" s="713" t="n"/>
      <c r="SG25" s="713" t="n"/>
      <c r="SH25" s="713" t="n"/>
      <c r="SI25" s="713" t="n"/>
      <c r="SJ25" s="713" t="n"/>
      <c r="SK25" s="713" t="n"/>
      <c r="SL25" s="713" t="n"/>
      <c r="SM25" s="710" t="n"/>
      <c r="SN25" s="713" t="n"/>
      <c r="SO25" s="713" t="n"/>
      <c r="SP25" s="713" t="n"/>
      <c r="SQ25" s="713" t="n"/>
      <c r="SR25" s="713" t="n"/>
      <c r="SS25" s="713" t="n"/>
      <c r="ST25" s="713" t="n"/>
      <c r="SU25" s="713" t="n"/>
      <c r="SV25" s="713" t="n"/>
      <c r="SW25" s="713" t="n"/>
      <c r="SX25" s="713" t="n"/>
      <c r="SY25" s="713" t="n"/>
      <c r="SZ25" s="713" t="n"/>
      <c r="TA25" s="713" t="n"/>
      <c r="TB25" s="710" t="n"/>
      <c r="TC25" s="713" t="n"/>
      <c r="TD25" s="713" t="n"/>
      <c r="TE25" s="713" t="n"/>
      <c r="TF25" s="713" t="n"/>
      <c r="TG25" s="713" t="n"/>
      <c r="TH25" s="713" t="n"/>
      <c r="TI25" s="713" t="n"/>
      <c r="TJ25" s="713" t="n"/>
      <c r="TK25" s="713" t="n"/>
      <c r="TL25" s="713" t="n"/>
      <c r="TM25" s="713" t="n"/>
      <c r="TN25" s="713" t="n"/>
      <c r="TO25" s="713" t="n"/>
      <c r="TP25" s="713" t="n"/>
      <c r="TQ25" s="710" t="n"/>
      <c r="TR25" s="713" t="n"/>
      <c r="TS25" s="713" t="n"/>
      <c r="TT25" s="713" t="n"/>
      <c r="TU25" s="713" t="n"/>
      <c r="TV25" s="713" t="n"/>
      <c r="TW25" s="713" t="n"/>
      <c r="TX25" s="713" t="n"/>
      <c r="TY25" s="713" t="n"/>
      <c r="TZ25" s="713" t="n"/>
      <c r="UA25" s="713" t="n"/>
      <c r="UB25" s="713" t="n"/>
      <c r="UC25" s="713" t="n"/>
      <c r="UD25" s="713" t="n"/>
      <c r="UE25" s="713" t="n"/>
      <c r="UF25" s="710" t="n"/>
      <c r="UG25" s="713" t="n"/>
      <c r="UH25" s="713" t="n"/>
      <c r="UI25" s="713" t="n"/>
      <c r="UJ25" s="713" t="n"/>
      <c r="UK25" s="713" t="n"/>
      <c r="UL25" s="713" t="n"/>
      <c r="UM25" s="713" t="n"/>
      <c r="UN25" s="713" t="n"/>
      <c r="UO25" s="713" t="n"/>
      <c r="UP25" s="713" t="n"/>
      <c r="UQ25" s="713" t="n"/>
      <c r="UR25" s="713" t="n"/>
      <c r="US25" s="713" t="n"/>
      <c r="UT25" s="713" t="n"/>
      <c r="UU25" s="710" t="n"/>
      <c r="UV25" s="713" t="n"/>
      <c r="UW25" s="713" t="n"/>
      <c r="UX25" s="713" t="n"/>
      <c r="UY25" s="713" t="n"/>
      <c r="UZ25" s="713" t="n"/>
      <c r="VA25" s="713" t="n"/>
      <c r="VB25" s="713" t="n"/>
      <c r="VC25" s="713" t="n"/>
      <c r="VD25" s="713" t="n"/>
      <c r="VE25" s="713" t="n"/>
      <c r="VF25" s="713" t="n"/>
      <c r="VG25" s="713" t="n"/>
      <c r="VH25" s="713" t="n"/>
      <c r="VI25" s="713" t="n"/>
      <c r="VJ25" s="710" t="n"/>
      <c r="VK25" s="713" t="n"/>
      <c r="VL25" s="713" t="n"/>
      <c r="VM25" s="713" t="n"/>
      <c r="VN25" s="713" t="n"/>
      <c r="VO25" s="713" t="n"/>
      <c r="VP25" s="713" t="n"/>
      <c r="VQ25" s="713" t="n"/>
      <c r="VR25" s="713" t="n"/>
      <c r="VS25" s="713" t="n"/>
      <c r="VT25" s="713" t="n"/>
      <c r="VU25" s="713" t="n"/>
      <c r="VV25" s="713" t="n"/>
      <c r="VW25" s="713" t="n"/>
      <c r="VX25" s="713" t="n"/>
      <c r="VY25" s="710" t="n"/>
      <c r="VZ25" s="713" t="n"/>
      <c r="WA25" s="713" t="n"/>
      <c r="WB25" s="713" t="n"/>
      <c r="WC25" s="713" t="n"/>
      <c r="WD25" s="713" t="n"/>
      <c r="WE25" s="713" t="n"/>
      <c r="WF25" s="713" t="n"/>
      <c r="WG25" s="713" t="n"/>
      <c r="WH25" s="713" t="n"/>
      <c r="WI25" s="713" t="n"/>
      <c r="WJ25" s="713" t="n"/>
      <c r="WK25" s="713" t="n"/>
      <c r="WL25" s="713" t="n"/>
      <c r="WM25" s="713" t="n"/>
      <c r="WN25" s="710" t="n"/>
      <c r="WO25" s="713" t="n"/>
      <c r="WP25" s="713" t="n"/>
      <c r="WQ25" s="713" t="n"/>
      <c r="WR25" s="713" t="n"/>
      <c r="WS25" s="713" t="n"/>
      <c r="WT25" s="713" t="n"/>
      <c r="WU25" s="713" t="n"/>
      <c r="WV25" s="713" t="n"/>
      <c r="WW25" s="713" t="n"/>
      <c r="WX25" s="713" t="n"/>
      <c r="WY25" s="713" t="n"/>
      <c r="WZ25" s="713" t="n"/>
      <c r="XA25" s="713" t="n"/>
      <c r="XB25" s="713" t="n"/>
      <c r="XC25" s="710" t="n"/>
      <c r="XD25" s="713" t="n"/>
      <c r="XE25" s="713" t="n"/>
      <c r="XF25" s="713" t="n"/>
      <c r="XG25" s="713" t="n"/>
      <c r="XH25" s="713" t="n"/>
      <c r="XI25" s="713" t="n"/>
      <c r="XJ25" s="713" t="n"/>
      <c r="XK25" s="713" t="n"/>
      <c r="XL25" s="713" t="n"/>
      <c r="XM25" s="713" t="n"/>
      <c r="XN25" s="713" t="n"/>
      <c r="XO25" s="713" t="n"/>
      <c r="XP25" s="713" t="n"/>
      <c r="XQ25" s="713" t="n"/>
      <c r="XR25" s="710" t="n"/>
      <c r="XS25" s="713" t="n"/>
      <c r="XT25" s="713" t="n"/>
      <c r="XU25" s="713" t="n"/>
      <c r="XV25" s="713" t="n"/>
      <c r="XW25" s="713" t="n"/>
      <c r="XX25" s="713" t="n"/>
      <c r="XY25" s="713" t="n"/>
      <c r="XZ25" s="713" t="n"/>
      <c r="YA25" s="713" t="n"/>
      <c r="YB25" s="713" t="n"/>
      <c r="YC25" s="713" t="n"/>
      <c r="YD25" s="713" t="n"/>
      <c r="YE25" s="713" t="n"/>
      <c r="YF25" s="713" t="n"/>
      <c r="YG25" s="710" t="n"/>
      <c r="YH25" s="713" t="n"/>
      <c r="YI25" s="713" t="n"/>
      <c r="YJ25" s="713" t="n"/>
      <c r="YK25" s="713" t="n"/>
      <c r="YL25" s="713" t="n"/>
      <c r="YM25" s="713" t="n"/>
      <c r="YN25" s="713" t="n"/>
      <c r="YO25" s="713" t="n"/>
      <c r="YP25" s="713" t="n"/>
      <c r="YQ25" s="713" t="n"/>
      <c r="YR25" s="713" t="n"/>
      <c r="YS25" s="713" t="n"/>
      <c r="YT25" s="713" t="n"/>
      <c r="YU25" s="713" t="n"/>
      <c r="YV25" s="710" t="n"/>
      <c r="YW25" s="713" t="n"/>
      <c r="YX25" s="713" t="n"/>
      <c r="YY25" s="713" t="n"/>
      <c r="YZ25" s="713" t="n"/>
      <c r="ZA25" s="713" t="n"/>
      <c r="ZB25" s="713" t="n"/>
      <c r="ZC25" s="713" t="n"/>
      <c r="ZD25" s="713" t="n"/>
      <c r="ZE25" s="713" t="n"/>
      <c r="ZF25" s="713" t="n"/>
      <c r="ZG25" s="713" t="n"/>
      <c r="ZH25" s="713" t="n"/>
      <c r="ZI25" s="713" t="n"/>
      <c r="ZJ25" s="713" t="n"/>
      <c r="ZK25" s="710" t="n"/>
      <c r="ZL25" s="713" t="n"/>
      <c r="ZM25" s="713" t="n"/>
      <c r="ZN25" s="713" t="n"/>
      <c r="ZO25" s="713" t="n"/>
      <c r="ZP25" s="713" t="n"/>
      <c r="ZQ25" s="713" t="n"/>
      <c r="ZR25" s="713" t="n"/>
      <c r="ZS25" s="713" t="n"/>
      <c r="ZT25" s="713" t="n"/>
      <c r="ZU25" s="713" t="n"/>
      <c r="ZV25" s="713" t="n"/>
      <c r="ZW25" s="713" t="n"/>
      <c r="ZX25" s="713" t="n"/>
      <c r="ZY25" s="713" t="n"/>
      <c r="ZZ25" s="710" t="n"/>
      <c r="AAA25" s="713" t="n"/>
      <c r="AAB25" s="713" t="n"/>
      <c r="AAC25" s="713" t="n"/>
      <c r="AAD25" s="713" t="n"/>
      <c r="AAE25" s="713" t="n"/>
      <c r="AAF25" s="713" t="n"/>
      <c r="AAG25" s="713" t="n"/>
      <c r="AAH25" s="713" t="n"/>
      <c r="AAI25" s="713" t="n"/>
      <c r="AAJ25" s="713" t="n"/>
      <c r="AAK25" s="713" t="n"/>
      <c r="AAL25" s="713" t="n"/>
      <c r="AAM25" s="713" t="n"/>
      <c r="AAN25" s="713" t="n"/>
      <c r="AAO25" s="710" t="n"/>
      <c r="AAP25" s="713" t="n"/>
      <c r="AAQ25" s="713" t="n"/>
      <c r="AAR25" s="713" t="n"/>
      <c r="AAS25" s="713" t="n"/>
      <c r="AAT25" s="713" t="n"/>
      <c r="AAU25" s="713" t="n"/>
      <c r="AAV25" s="713" t="n"/>
      <c r="AAW25" s="713" t="n"/>
      <c r="AAX25" s="713" t="n"/>
      <c r="AAY25" s="713" t="n"/>
      <c r="AAZ25" s="713" t="n"/>
      <c r="ABA25" s="713" t="n"/>
      <c r="ABB25" s="713" t="n"/>
      <c r="ABC25" s="713" t="n"/>
      <c r="ABD25" s="710" t="n"/>
      <c r="ABE25" s="713" t="n"/>
      <c r="ABF25" s="713" t="n"/>
      <c r="ABG25" s="713" t="n"/>
      <c r="ABH25" s="713" t="n"/>
      <c r="ABI25" s="713" t="n"/>
      <c r="ABJ25" s="713" t="n"/>
      <c r="ABK25" s="713" t="n"/>
      <c r="ABL25" s="713" t="n"/>
      <c r="ABM25" s="713" t="n"/>
      <c r="ABN25" s="713" t="n"/>
      <c r="ABO25" s="713" t="n"/>
      <c r="ABP25" s="713" t="n"/>
      <c r="ABQ25" s="713" t="n"/>
      <c r="ABR25" s="713" t="n"/>
      <c r="ABS25" s="710" t="n"/>
      <c r="ABT25" s="713" t="n"/>
      <c r="ABU25" s="713" t="n"/>
      <c r="ABV25" s="713" t="n"/>
      <c r="ABW25" s="713" t="n"/>
      <c r="ABX25" s="713" t="n"/>
      <c r="ABY25" s="713" t="n"/>
      <c r="ABZ25" s="713" t="n"/>
      <c r="ACA25" s="713" t="n"/>
      <c r="ACB25" s="713" t="n"/>
      <c r="ACC25" s="713" t="n"/>
      <c r="ACD25" s="713" t="n"/>
      <c r="ACE25" s="713" t="n"/>
      <c r="ACF25" s="713" t="n"/>
      <c r="ACG25" s="713" t="n"/>
      <c r="ACH25" s="710" t="n"/>
      <c r="ACI25" s="713" t="n"/>
      <c r="ACJ25" s="713" t="n"/>
      <c r="ACK25" s="713" t="n"/>
      <c r="ACL25" s="713" t="n"/>
      <c r="ACM25" s="713" t="n"/>
      <c r="ACN25" s="713" t="n"/>
      <c r="ACO25" s="713" t="n"/>
      <c r="ACP25" s="713" t="n"/>
      <c r="ACQ25" s="713" t="n"/>
      <c r="ACR25" s="713" t="n"/>
      <c r="ACS25" s="713" t="n"/>
      <c r="ACT25" s="713" t="n"/>
      <c r="ACU25" s="713" t="n"/>
      <c r="ACV25" s="713" t="n"/>
      <c r="ACW25" s="710" t="n"/>
      <c r="ACX25" s="713" t="n"/>
      <c r="ACY25" s="713" t="n"/>
      <c r="ACZ25" s="713" t="n"/>
      <c r="ADA25" s="713" t="n"/>
      <c r="ADB25" s="713" t="n"/>
      <c r="ADC25" s="713" t="n"/>
      <c r="ADD25" s="713" t="n"/>
      <c r="ADE25" s="713" t="n"/>
      <c r="ADF25" s="713" t="n"/>
      <c r="ADG25" s="713" t="n"/>
      <c r="ADH25" s="713" t="n"/>
      <c r="ADI25" s="713" t="n"/>
      <c r="ADJ25" s="713" t="n"/>
      <c r="ADK25" s="713" t="n"/>
      <c r="ADL25" s="710" t="n"/>
      <c r="ADM25" s="713" t="n"/>
      <c r="ADN25" s="713" t="n"/>
      <c r="ADO25" s="713" t="n"/>
      <c r="ADP25" s="713" t="n"/>
      <c r="ADQ25" s="713" t="n"/>
      <c r="ADR25" s="713" t="n"/>
      <c r="ADS25" s="713" t="n"/>
      <c r="ADT25" s="713" t="n"/>
      <c r="ADU25" s="713" t="n"/>
      <c r="ADV25" s="713" t="n"/>
      <c r="ADW25" s="713" t="n"/>
      <c r="ADX25" s="713" t="n"/>
      <c r="ADY25" s="713" t="n"/>
      <c r="ADZ25" s="713" t="n"/>
      <c r="AEA25" s="710" t="n"/>
      <c r="AEB25" s="713" t="n"/>
      <c r="AEC25" s="713" t="n"/>
      <c r="AED25" s="713" t="n"/>
      <c r="AEE25" s="713" t="n"/>
      <c r="AEF25" s="713" t="n"/>
      <c r="AEG25" s="713" t="n"/>
      <c r="AEH25" s="713" t="n"/>
      <c r="AEI25" s="713" t="n"/>
      <c r="AEJ25" s="713" t="n"/>
      <c r="AEK25" s="713" t="n"/>
      <c r="AEL25" s="713" t="n"/>
      <c r="AEM25" s="713" t="n"/>
      <c r="AEN25" s="713" t="n"/>
      <c r="AEO25" s="713" t="n"/>
      <c r="AEP25" s="710" t="n"/>
      <c r="AEQ25" s="713" t="n"/>
      <c r="AER25" s="713" t="n"/>
      <c r="AES25" s="713" t="n"/>
      <c r="AET25" s="713" t="n"/>
      <c r="AEU25" s="713" t="n"/>
      <c r="AEV25" s="713" t="n"/>
      <c r="AEW25" s="713" t="n"/>
      <c r="AEX25" s="713" t="n"/>
      <c r="AEY25" s="713" t="n"/>
      <c r="AEZ25" s="713" t="n"/>
      <c r="AFA25" s="713" t="n"/>
      <c r="AFB25" s="713" t="n"/>
      <c r="AFC25" s="713" t="n"/>
      <c r="AFD25" s="713" t="n"/>
      <c r="AFE25" s="710" t="n"/>
      <c r="AFF25" s="713" t="n"/>
      <c r="AFG25" s="713" t="n"/>
      <c r="AFH25" s="713" t="n"/>
      <c r="AFI25" s="713" t="n"/>
      <c r="AFJ25" s="713" t="n"/>
      <c r="AFK25" s="713" t="n"/>
      <c r="AFL25" s="713" t="n"/>
      <c r="AFM25" s="713" t="n"/>
      <c r="AFN25" s="713" t="n"/>
      <c r="AFO25" s="713" t="n"/>
      <c r="AFP25" s="713" t="n"/>
      <c r="AFQ25" s="713" t="n"/>
      <c r="AFR25" s="713" t="n"/>
      <c r="AFS25" s="713" t="n"/>
      <c r="AFT25" s="710" t="n"/>
      <c r="AFU25" s="713" t="n"/>
      <c r="AFV25" s="713" t="n"/>
      <c r="AFW25" s="713" t="n"/>
      <c r="AFX25" s="713" t="n"/>
      <c r="AFY25" s="713" t="n"/>
      <c r="AFZ25" s="713" t="n"/>
      <c r="AGA25" s="713" t="n"/>
      <c r="AGB25" s="713" t="n"/>
      <c r="AGC25" s="713" t="n"/>
      <c r="AGD25" s="713" t="n"/>
      <c r="AGE25" s="713" t="n"/>
      <c r="AGF25" s="713" t="n"/>
      <c r="AGG25" s="713" t="n"/>
      <c r="AGH25" s="713" t="n"/>
      <c r="AGI25" s="710" t="n"/>
      <c r="AGJ25" s="713" t="n"/>
      <c r="AGK25" s="713" t="n"/>
      <c r="AGL25" s="713" t="n"/>
      <c r="AGM25" s="713" t="n"/>
      <c r="AGN25" s="713" t="n"/>
      <c r="AGO25" s="713" t="n"/>
      <c r="AGP25" s="713" t="n"/>
      <c r="AGQ25" s="713" t="n"/>
      <c r="AGR25" s="713" t="n"/>
      <c r="AGS25" s="713" t="n"/>
      <c r="AGT25" s="713" t="n"/>
      <c r="AGU25" s="713" t="n"/>
      <c r="AGV25" s="713" t="n"/>
      <c r="AGW25" s="713" t="n"/>
      <c r="AGX25" s="710" t="n"/>
      <c r="AGY25" s="713" t="n"/>
      <c r="AGZ25" s="713" t="n"/>
      <c r="AHA25" s="713" t="n"/>
      <c r="AHB25" s="713" t="n"/>
      <c r="AHC25" s="713" t="n"/>
      <c r="AHD25" s="713" t="n"/>
      <c r="AHE25" s="713" t="n"/>
      <c r="AHF25" s="713" t="n"/>
      <c r="AHG25" s="713" t="n"/>
      <c r="AHH25" s="713" t="n"/>
      <c r="AHI25" s="713" t="n"/>
      <c r="AHJ25" s="713" t="n"/>
      <c r="AHK25" s="713" t="n"/>
      <c r="AHL25" s="713" t="n"/>
      <c r="AHM25" s="710" t="n"/>
      <c r="AHN25" s="713" t="n"/>
      <c r="AHO25" s="713" t="n"/>
      <c r="AHP25" s="713" t="n"/>
      <c r="AHQ25" s="713" t="n"/>
      <c r="AHR25" s="713" t="n"/>
      <c r="AHS25" s="713" t="n"/>
      <c r="AHT25" s="713" t="n"/>
      <c r="AHU25" s="713" t="n"/>
      <c r="AHV25" s="713" t="n"/>
      <c r="AHW25" s="713" t="n"/>
      <c r="AHX25" s="713" t="n"/>
      <c r="AHY25" s="713" t="n"/>
      <c r="AHZ25" s="713" t="n"/>
      <c r="AIA25" s="713" t="n"/>
      <c r="AIB25" s="710" t="n"/>
      <c r="AIC25" s="713" t="n"/>
      <c r="AID25" s="713" t="n"/>
      <c r="AIE25" s="713" t="n"/>
      <c r="AIF25" s="713" t="n"/>
      <c r="AIG25" s="713" t="n"/>
      <c r="AIH25" s="713" t="n"/>
      <c r="AII25" s="713" t="n"/>
      <c r="AIJ25" s="713" t="n"/>
      <c r="AIK25" s="713" t="n"/>
      <c r="AIL25" s="713" t="n"/>
      <c r="AIM25" s="713" t="n"/>
      <c r="AIN25" s="713" t="n"/>
      <c r="AIO25" s="713" t="n"/>
      <c r="AIP25" s="713" t="n"/>
      <c r="AIQ25" s="710" t="n"/>
      <c r="AIR25" s="713" t="n"/>
      <c r="AIS25" s="713" t="n"/>
      <c r="AIT25" s="713" t="n"/>
      <c r="AIU25" s="713" t="n"/>
      <c r="AIV25" s="713" t="n"/>
      <c r="AIW25" s="713" t="n"/>
      <c r="AIX25" s="713" t="n"/>
      <c r="AIY25" s="713" t="n"/>
      <c r="AIZ25" s="713" t="n"/>
      <c r="AJA25" s="713" t="n"/>
      <c r="AJB25" s="713" t="n"/>
      <c r="AJC25" s="713" t="n"/>
      <c r="AJD25" s="713" t="n"/>
      <c r="AJE25" s="713" t="n"/>
      <c r="AJF25" s="710" t="n"/>
      <c r="AJG25" s="713" t="n"/>
      <c r="AJH25" s="713" t="n"/>
      <c r="AJI25" s="713" t="n"/>
      <c r="AJJ25" s="713" t="n"/>
      <c r="AJK25" s="713" t="n"/>
      <c r="AJL25" s="713" t="n"/>
      <c r="AJM25" s="713" t="n"/>
      <c r="AJN25" s="713" t="n"/>
      <c r="AJO25" s="713" t="n"/>
      <c r="AJP25" s="713" t="n"/>
      <c r="AJQ25" s="713" t="n"/>
      <c r="AJR25" s="713" t="n"/>
      <c r="AJS25" s="713" t="n"/>
      <c r="AJT25" s="713" t="n"/>
      <c r="AJU25" s="710" t="n"/>
      <c r="AJV25" s="713" t="n"/>
      <c r="AJW25" s="713" t="n"/>
      <c r="AJX25" s="713" t="n"/>
      <c r="AJY25" s="713" t="n"/>
      <c r="AJZ25" s="713" t="n"/>
      <c r="AKA25" s="713" t="n"/>
      <c r="AKB25" s="713" t="n"/>
      <c r="AKC25" s="713" t="n"/>
      <c r="AKD25" s="713" t="n"/>
      <c r="AKE25" s="713" t="n"/>
      <c r="AKF25" s="713" t="n"/>
      <c r="AKG25" s="713" t="n"/>
      <c r="AKH25" s="713" t="n"/>
      <c r="AKI25" s="713" t="n"/>
      <c r="AKJ25" s="710" t="n"/>
      <c r="AKK25" s="713" t="n"/>
      <c r="AKL25" s="713" t="n"/>
      <c r="AKM25" s="713" t="n"/>
      <c r="AKN25" s="713" t="n"/>
      <c r="AKO25" s="713" t="n"/>
      <c r="AKP25" s="713" t="n"/>
      <c r="AKQ25" s="713" t="n"/>
      <c r="AKR25" s="713" t="n"/>
      <c r="AKS25" s="713" t="n"/>
      <c r="AKT25" s="713" t="n"/>
      <c r="AKU25" s="713" t="n"/>
      <c r="AKV25" s="713" t="n"/>
      <c r="AKW25" s="713" t="n"/>
      <c r="AKX25" s="713" t="n"/>
      <c r="AKY25" s="710" t="n"/>
      <c r="AKZ25" s="713" t="n"/>
      <c r="ALA25" s="713" t="n"/>
      <c r="ALB25" s="713" t="n"/>
      <c r="ALC25" s="713" t="n"/>
      <c r="ALD25" s="713" t="n"/>
      <c r="ALE25" s="713" t="n"/>
      <c r="ALF25" s="713" t="n"/>
      <c r="ALG25" s="713" t="n"/>
      <c r="ALH25" s="713" t="n"/>
      <c r="ALI25" s="713" t="n"/>
      <c r="ALJ25" s="713" t="n"/>
      <c r="ALK25" s="713" t="n"/>
      <c r="ALL25" s="713" t="n"/>
      <c r="ALM25" s="713" t="n"/>
      <c r="ALN25" s="710" t="n"/>
      <c r="ALO25" s="713" t="n"/>
      <c r="ALP25" s="713" t="n"/>
      <c r="ALQ25" s="713" t="n"/>
      <c r="ALR25" s="713" t="n"/>
      <c r="ALS25" s="713" t="n"/>
      <c r="ALT25" s="713" t="n"/>
      <c r="ALU25" s="713" t="n"/>
      <c r="ALV25" s="713" t="n"/>
      <c r="ALW25" s="713" t="n"/>
      <c r="ALX25" s="713" t="n"/>
      <c r="ALY25" s="713" t="n"/>
      <c r="ALZ25" s="713" t="n"/>
      <c r="AMA25" s="713" t="n"/>
      <c r="AMB25" s="713" t="n"/>
    </row>
    <row r="26" ht="12.5" customFormat="1" customHeight="1" s="710">
      <c r="A26" s="708" t="n"/>
      <c r="D26" s="709" t="inlineStr">
        <is>
          <t>Prénoms et Nom :</t>
        </is>
      </c>
      <c r="N26" s="889" t="n"/>
      <c r="O26" s="890" t="n"/>
      <c r="P26" s="890" t="n"/>
      <c r="Q26" s="890" t="n"/>
      <c r="R26" s="890" t="n"/>
      <c r="S26" s="890" t="n"/>
      <c r="T26" s="890" t="n"/>
      <c r="U26" s="890" t="n"/>
      <c r="V26" s="890" t="n"/>
      <c r="W26" s="890" t="n"/>
      <c r="X26" s="890" t="n"/>
      <c r="Y26" s="890" t="n"/>
      <c r="Z26" s="890" t="n"/>
      <c r="AA26" s="890" t="n"/>
      <c r="AB26" s="890" t="n"/>
      <c r="AC26" s="890" t="n"/>
      <c r="AD26" s="890" t="n"/>
      <c r="AE26" s="890" t="n"/>
      <c r="AG26" s="713" t="n"/>
    </row>
    <row r="27" ht="12.5" customFormat="1" customHeight="1" s="710">
      <c r="A27" s="708" t="n"/>
      <c r="L27" s="22" t="n"/>
      <c r="M27" s="22" t="n"/>
      <c r="AG27" s="713" t="n"/>
    </row>
    <row r="28" ht="12.5" customFormat="1" customHeight="1" s="710">
      <c r="A28" s="708" t="n"/>
      <c r="D28" s="709" t="inlineStr">
        <is>
          <t>Fonction :</t>
        </is>
      </c>
      <c r="N28" s="889" t="n"/>
      <c r="O28" s="890" t="n"/>
      <c r="P28" s="890" t="n"/>
      <c r="Q28" s="890" t="n"/>
      <c r="R28" s="890" t="n"/>
      <c r="S28" s="890" t="n"/>
      <c r="T28" s="890" t="n"/>
      <c r="U28" s="890" t="n"/>
      <c r="V28" s="890" t="n"/>
      <c r="W28" s="890" t="n"/>
      <c r="X28" s="890" t="n"/>
      <c r="Y28" s="890" t="n"/>
      <c r="Z28" s="890" t="n"/>
      <c r="AA28" s="890" t="n"/>
      <c r="AB28" s="890" t="n"/>
      <c r="AC28" s="890" t="n"/>
      <c r="AD28" s="890" t="n"/>
      <c r="AE28" s="890" t="n"/>
    </row>
    <row r="29" ht="12.5" customFormat="1" customHeight="1" s="710">
      <c r="A29" s="708" t="n"/>
      <c r="L29" s="22" t="n"/>
      <c r="M29" s="22" t="n"/>
    </row>
    <row r="30" ht="12.5" customFormat="1" customHeight="1" s="710">
      <c r="A30" s="708" t="n"/>
      <c r="D30" s="709" t="inlineStr">
        <is>
          <t>Téléphone :</t>
        </is>
      </c>
      <c r="N30" s="889" t="n"/>
      <c r="O30" s="890" t="n"/>
      <c r="P30" s="890" t="n"/>
      <c r="Q30" s="890" t="n"/>
      <c r="R30" s="890" t="n"/>
      <c r="S30" s="890" t="n"/>
      <c r="T30" s="890" t="n"/>
      <c r="U30" s="890" t="n"/>
      <c r="Y30" s="710" t="inlineStr">
        <is>
          <t>Poste :</t>
        </is>
      </c>
      <c r="Z30" s="713" t="n"/>
      <c r="AA30" s="713" t="n"/>
      <c r="AB30" s="889" t="n"/>
      <c r="AC30" s="890" t="n"/>
      <c r="AD30" s="890" t="n"/>
      <c r="AE30" s="890" t="n"/>
    </row>
    <row r="31" ht="12.5" customFormat="1" customHeight="1" s="710">
      <c r="A31" s="708" t="n"/>
      <c r="L31" s="22" t="n"/>
      <c r="M31" s="22" t="n"/>
    </row>
    <row r="32" ht="12.5" customFormat="1" customHeight="1" s="710">
      <c r="A32" s="708" t="n"/>
      <c r="D32" s="709" t="inlineStr">
        <is>
          <t>E-mail :</t>
        </is>
      </c>
      <c r="N32" s="889" t="n"/>
      <c r="O32" s="890" t="n"/>
      <c r="P32" s="890" t="n"/>
      <c r="Q32" s="890" t="n"/>
      <c r="R32" s="890" t="n"/>
      <c r="S32" s="890" t="n"/>
      <c r="T32" s="890" t="n"/>
      <c r="U32" s="890" t="n"/>
      <c r="V32" s="890" t="n"/>
      <c r="W32" s="890" t="n"/>
      <c r="X32" s="890" t="n"/>
      <c r="Y32" s="890" t="n"/>
      <c r="Z32" s="890" t="n"/>
      <c r="AA32" s="890" t="n"/>
      <c r="AB32" s="890" t="n"/>
      <c r="AC32" s="890" t="n"/>
      <c r="AD32" s="890" t="n"/>
      <c r="AE32" s="890" t="n"/>
    </row>
    <row r="33" ht="12.75" customFormat="1" customHeight="1" s="710">
      <c r="A33" s="24" t="n"/>
      <c r="B33" s="24" t="n"/>
      <c r="C33" s="24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 ht="12.75" customFormat="1" customHeight="1" s="710">
      <c r="A34" s="705" t="inlineStr">
        <is>
          <t>CERTIFICATION</t>
        </is>
      </c>
    </row>
    <row r="35" ht="12.75" customFormat="1" customHeight="1" s="710"/>
    <row r="36" ht="12.5" customFormat="1" customHeight="1" s="699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</row>
    <row r="37" ht="27" customFormat="1" customHeight="1" s="699">
      <c r="A37" s="28" t="inlineStr">
        <is>
          <t>Nous,</t>
        </is>
      </c>
      <c r="B37" s="892" t="n"/>
      <c r="C37" s="891" t="n"/>
      <c r="D37" s="890" t="n"/>
      <c r="E37" s="890" t="n"/>
      <c r="F37" s="890" t="n"/>
      <c r="G37" s="890" t="n"/>
      <c r="H37" s="890" t="n"/>
      <c r="I37" s="890" t="n"/>
      <c r="J37" s="890" t="n"/>
      <c r="K37" s="890" t="n"/>
      <c r="L37" s="890" t="n"/>
      <c r="M37" s="890" t="n"/>
      <c r="N37" s="890" t="n"/>
      <c r="O37" s="890" t="n"/>
      <c r="P37" s="890" t="n"/>
      <c r="Q37" s="890" t="n"/>
      <c r="R37" s="890" t="n"/>
      <c r="S37" s="30" t="inlineStr">
        <is>
          <t xml:space="preserve"> et</t>
        </is>
      </c>
      <c r="T37" s="891" t="n"/>
      <c r="U37" s="890" t="n"/>
      <c r="V37" s="890" t="n"/>
      <c r="W37" s="890" t="n"/>
      <c r="X37" s="890" t="n"/>
      <c r="Y37" s="890" t="n"/>
      <c r="Z37" s="890" t="n"/>
      <c r="AA37" s="890" t="n"/>
      <c r="AB37" s="890" t="n"/>
      <c r="AC37" s="890" t="n"/>
      <c r="AD37" s="890" t="n"/>
      <c r="AE37" s="890" t="n"/>
    </row>
    <row r="38" ht="15" customFormat="1" customHeight="1" s="699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 ht="33" customFormat="1" customHeight="1" s="699">
      <c r="A39" s="707" t="inlineStr">
        <is>
          <t>certifions que le présent formulaire a été rempli conformément aux exigences du dispositif prudentiel applicable aux établissements de crédit et aux compagnies financières de l'Union Monétaire Ouest Africaine.</t>
        </is>
      </c>
    </row>
    <row r="40" ht="57" customFormat="1" customHeight="1" s="699">
      <c r="A40" s="707" t="inlineStr">
        <is>
          <t>En outre, nous attestons qu'au meilleur de notre connaissance, les données contenues dans le présent formulaire sont fiables, intègres et exhaustives.</t>
        </is>
      </c>
    </row>
    <row r="41" ht="15" customFormat="1" customHeight="1" s="699">
      <c r="A41" s="31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</row>
    <row r="42" ht="15" customFormat="1" customHeight="1" s="699">
      <c r="A42" s="31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 ht="12.5" customFormat="1" customHeight="1" s="699">
      <c r="A43" s="701" t="inlineStr">
        <is>
          <t>Code Signature :</t>
        </is>
      </c>
      <c r="G43" s="34" t="n"/>
      <c r="H43" s="34" t="n"/>
      <c r="I43" s="34" t="n"/>
      <c r="J43" s="34" t="n"/>
      <c r="K43" s="34" t="n"/>
    </row>
    <row r="44" ht="12.5" customFormat="1" customHeight="1" s="699">
      <c r="A44" s="701" t="n"/>
      <c r="B44" s="702" t="n"/>
      <c r="D44" s="35" t="n"/>
      <c r="E44" s="35" t="n"/>
      <c r="F44" s="35" t="n"/>
      <c r="G44" s="36" t="n"/>
      <c r="H44" s="36" t="n"/>
      <c r="I44" s="36" t="n"/>
      <c r="J44" s="36" t="n"/>
      <c r="K44" s="36" t="n"/>
    </row>
    <row r="45" ht="12.5" customFormat="1" customHeight="1" s="699">
      <c r="A45" s="701" t="n"/>
      <c r="B45" s="701" t="inlineStr">
        <is>
          <t>Fonction :</t>
        </is>
      </c>
      <c r="G45" s="889" t="n"/>
      <c r="H45" s="890" t="n"/>
      <c r="I45" s="890" t="n"/>
      <c r="J45" s="890" t="n"/>
      <c r="K45" s="890" t="n"/>
      <c r="L45" s="890" t="n"/>
      <c r="M45" s="890" t="n"/>
      <c r="N45" s="890" t="n"/>
      <c r="O45" s="890" t="n"/>
      <c r="P45" s="890" t="n"/>
      <c r="Q45" s="890" t="n"/>
      <c r="R45" s="890" t="n"/>
      <c r="S45" s="890" t="n"/>
      <c r="U45" s="701" t="inlineStr">
        <is>
          <t>Date :</t>
        </is>
      </c>
      <c r="X45" s="889" t="n"/>
      <c r="Y45" s="890" t="n"/>
      <c r="Z45" s="890" t="n"/>
      <c r="AA45" s="890" t="n"/>
      <c r="AB45" s="890" t="n"/>
      <c r="AC45" s="890" t="n"/>
      <c r="AD45" s="890" t="n"/>
      <c r="AE45" s="890" t="n"/>
    </row>
    <row r="46" ht="12.5" customFormat="1" customHeight="1" s="699">
      <c r="A46" s="704" t="n"/>
      <c r="B46" s="699" t="n"/>
      <c r="C46" s="713" t="n"/>
      <c r="D46" s="713" t="n"/>
      <c r="E46" s="713" t="n"/>
      <c r="F46" s="713" t="n"/>
      <c r="G46" s="713" t="n"/>
      <c r="H46" s="713" t="n"/>
      <c r="X46" s="700" t="inlineStr">
        <is>
          <t>(AAAA-MM-JJ)</t>
        </is>
      </c>
    </row>
    <row r="47" ht="12.5" customFormat="1" customHeight="1" s="699">
      <c r="A47" s="704" t="n"/>
      <c r="X47" s="704" t="n"/>
      <c r="Y47" s="704" t="n"/>
      <c r="Z47" s="704" t="n"/>
      <c r="AA47" s="704" t="n"/>
      <c r="AB47" s="704" t="n"/>
      <c r="AC47" s="704" t="n"/>
      <c r="AD47" s="704" t="n"/>
      <c r="AE47" s="704" t="n"/>
    </row>
    <row r="48" ht="12.5" customFormat="1" customHeight="1" s="699">
      <c r="A48" s="704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 ht="12.5" customFormat="1" customHeight="1" s="699">
      <c r="A49" s="701" t="inlineStr">
        <is>
          <t>Code Signature :</t>
        </is>
      </c>
      <c r="G49" s="34" t="n"/>
      <c r="H49" s="34" t="n"/>
      <c r="I49" s="34" t="n"/>
      <c r="J49" s="34" t="n"/>
      <c r="K49" s="34" t="n"/>
    </row>
    <row r="50" ht="12.5" customFormat="1" customHeight="1" s="699">
      <c r="A50" s="701" t="n"/>
      <c r="B50" s="702" t="n"/>
      <c r="D50" s="35" t="n"/>
      <c r="E50" s="35" t="n"/>
      <c r="F50" s="35" t="n"/>
      <c r="G50" s="36" t="n"/>
      <c r="H50" s="36" t="n"/>
      <c r="I50" s="36" t="n"/>
      <c r="J50" s="36" t="n"/>
      <c r="K50" s="36" t="n"/>
    </row>
    <row r="51" ht="12.5" customFormat="1" customHeight="1" s="699">
      <c r="A51" s="701" t="n"/>
      <c r="B51" s="701" t="inlineStr">
        <is>
          <t>Fonction :</t>
        </is>
      </c>
      <c r="G51" s="889" t="n"/>
      <c r="H51" s="890" t="n"/>
      <c r="I51" s="890" t="n"/>
      <c r="J51" s="890" t="n"/>
      <c r="K51" s="890" t="n"/>
      <c r="L51" s="890" t="n"/>
      <c r="M51" s="890" t="n"/>
      <c r="N51" s="890" t="n"/>
      <c r="O51" s="890" t="n"/>
      <c r="P51" s="890" t="n"/>
      <c r="Q51" s="890" t="n"/>
      <c r="R51" s="890" t="n"/>
      <c r="S51" s="890" t="n"/>
      <c r="U51" s="704" t="inlineStr">
        <is>
          <t>Date :</t>
        </is>
      </c>
      <c r="V51" s="713" t="n"/>
      <c r="W51" s="713" t="n"/>
      <c r="X51" s="889" t="n"/>
      <c r="Y51" s="890" t="n"/>
      <c r="Z51" s="890" t="n"/>
      <c r="AA51" s="890" t="n"/>
      <c r="AB51" s="890" t="n"/>
      <c r="AC51" s="890" t="n"/>
      <c r="AD51" s="890" t="n"/>
      <c r="AE51" s="890" t="n"/>
    </row>
    <row r="52" ht="12.5" customFormat="1" customHeight="1" s="699">
      <c r="A52" s="704" t="n"/>
      <c r="B52" s="699" t="n"/>
      <c r="C52" s="713" t="n"/>
      <c r="D52" s="713" t="n"/>
      <c r="E52" s="713" t="n"/>
      <c r="F52" s="713" t="n"/>
      <c r="G52" s="713" t="n"/>
      <c r="H52" s="713" t="n"/>
      <c r="X52" s="700" t="inlineStr">
        <is>
          <t>(AAAA-MM-JJ)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/oXEZM0zz5BNAMlG191mlQ==" formatRows="1" sort="1" spinCount="100000" hashValue="ofVV2OrWsaaO0HaICpVwQ9VWEWnpxNI7xr4uJaGvFp+lV6qjJnzuk5VFaYVqemjDyA6AyBnm+FpMMUqrws38ng=="/>
  <mergeCells count="133">
    <mergeCell ref="A12:AE12"/>
    <mergeCell ref="A34:AE35"/>
    <mergeCell ref="HN25:IB25"/>
    <mergeCell ref="A15:K15"/>
    <mergeCell ref="FF25:FT25"/>
    <mergeCell ref="D30:M30"/>
    <mergeCell ref="NW25:OK25"/>
    <mergeCell ref="W2:AF2"/>
    <mergeCell ref="A26:C26"/>
    <mergeCell ref="GJ25:GX25"/>
    <mergeCell ref="TB25:TP25"/>
    <mergeCell ref="JV25:KJ25"/>
    <mergeCell ref="A40:AE40"/>
    <mergeCell ref="FU25:GI25"/>
    <mergeCell ref="OL25:OZ25"/>
    <mergeCell ref="IR25:JF25"/>
    <mergeCell ref="A27:K27"/>
    <mergeCell ref="AB20:AE20"/>
    <mergeCell ref="U51:W51"/>
    <mergeCell ref="A24:AE24"/>
    <mergeCell ref="AJF25:AJT25"/>
    <mergeCell ref="B52:H52"/>
    <mergeCell ref="T37:AE37"/>
    <mergeCell ref="EQ25:FE25"/>
    <mergeCell ref="U10:AF10"/>
    <mergeCell ref="NH25:NV25"/>
    <mergeCell ref="RI25:RW25"/>
    <mergeCell ref="A17:K17"/>
    <mergeCell ref="YV25:ZJ25"/>
    <mergeCell ref="CX25:DL25"/>
    <mergeCell ref="N26:AE26"/>
    <mergeCell ref="ALN25:AMB25"/>
    <mergeCell ref="C5:K5"/>
    <mergeCell ref="N16:AE16"/>
    <mergeCell ref="A19:K19"/>
    <mergeCell ref="AHM25:AIA25"/>
    <mergeCell ref="Y30:AA30"/>
    <mergeCell ref="Y20:AA20"/>
    <mergeCell ref="N20:U20"/>
    <mergeCell ref="G45:S45"/>
    <mergeCell ref="AGI25:AGW25"/>
    <mergeCell ref="KK25:KY25"/>
    <mergeCell ref="BE25:BS25"/>
    <mergeCell ref="X52:AE52"/>
    <mergeCell ref="ACH25:ACV25"/>
    <mergeCell ref="AKY25:ALM25"/>
    <mergeCell ref="A13:K14"/>
    <mergeCell ref="A32:C32"/>
    <mergeCell ref="AEP25:AFD25"/>
    <mergeCell ref="AFT25:AGH25"/>
    <mergeCell ref="AP25:BD25"/>
    <mergeCell ref="AJU25:AKI25"/>
    <mergeCell ref="H3:R3"/>
    <mergeCell ref="D32:M32"/>
    <mergeCell ref="T5:AE5"/>
    <mergeCell ref="DM25:EA25"/>
    <mergeCell ref="N32:AE32"/>
    <mergeCell ref="B45:F45"/>
    <mergeCell ref="D16:M16"/>
    <mergeCell ref="A16:C16"/>
    <mergeCell ref="XR25:YF25"/>
    <mergeCell ref="ABS25:ACG25"/>
    <mergeCell ref="AEA25:AEO25"/>
    <mergeCell ref="AKJ25:AKX25"/>
    <mergeCell ref="BT25:CH25"/>
    <mergeCell ref="D18:M18"/>
    <mergeCell ref="TQ25:UE25"/>
    <mergeCell ref="A18:C18"/>
    <mergeCell ref="N18:AE18"/>
    <mergeCell ref="WN25:XB25"/>
    <mergeCell ref="JG25:JU25"/>
    <mergeCell ref="AFE25:AFS25"/>
    <mergeCell ref="A22:C22"/>
    <mergeCell ref="VY25:WM25"/>
    <mergeCell ref="D20:M20"/>
    <mergeCell ref="N28:AE28"/>
    <mergeCell ref="A20:C20"/>
    <mergeCell ref="XC25:XQ25"/>
    <mergeCell ref="A39:AE39"/>
    <mergeCell ref="B46:H46"/>
    <mergeCell ref="A28:C28"/>
    <mergeCell ref="ABD25:ABR25"/>
    <mergeCell ref="RX25:SL25"/>
    <mergeCell ref="B44:C44"/>
    <mergeCell ref="AAO25:ABC25"/>
    <mergeCell ref="UU25:VI25"/>
    <mergeCell ref="A21:K21"/>
    <mergeCell ref="D22:M22"/>
    <mergeCell ref="A1:AE1"/>
    <mergeCell ref="MS25:NG25"/>
    <mergeCell ref="A30:C30"/>
    <mergeCell ref="ZZ25:AAN25"/>
    <mergeCell ref="QT25:RH25"/>
    <mergeCell ref="A23:K23"/>
    <mergeCell ref="ZK25:ZY25"/>
    <mergeCell ref="ADL25:ADZ25"/>
    <mergeCell ref="A49:F49"/>
    <mergeCell ref="VJ25:VX25"/>
    <mergeCell ref="AIQ25:AJE25"/>
    <mergeCell ref="AIB25:AIP25"/>
    <mergeCell ref="X46:AE46"/>
    <mergeCell ref="UF25:UT25"/>
    <mergeCell ref="KZ25:LN25"/>
    <mergeCell ref="AGX25:AHL25"/>
    <mergeCell ref="G51:S51"/>
    <mergeCell ref="QE25:QS25"/>
    <mergeCell ref="ACW25:ADK25"/>
    <mergeCell ref="C37:R37"/>
    <mergeCell ref="A25:K25"/>
    <mergeCell ref="L25:Z25"/>
    <mergeCell ref="D26:M26"/>
    <mergeCell ref="AB30:AE30"/>
    <mergeCell ref="MD25:MR25"/>
    <mergeCell ref="SM25:TA25"/>
    <mergeCell ref="A43:F43"/>
    <mergeCell ref="EB25:EP25"/>
    <mergeCell ref="YG25:YU25"/>
    <mergeCell ref="IC25:IQ25"/>
    <mergeCell ref="X45:AE45"/>
    <mergeCell ref="GY25:HM25"/>
    <mergeCell ref="X51:AE51"/>
    <mergeCell ref="A29:K29"/>
    <mergeCell ref="N30:U30"/>
    <mergeCell ref="U45:W45"/>
    <mergeCell ref="B51:F51"/>
    <mergeCell ref="LO25:MC25"/>
    <mergeCell ref="CI25:CW25"/>
    <mergeCell ref="B50:C50"/>
    <mergeCell ref="PP25:QD25"/>
    <mergeCell ref="N22:AE22"/>
    <mergeCell ref="PA25:PO25"/>
    <mergeCell ref="D28:M28"/>
    <mergeCell ref="A31:K31"/>
  </mergeCells>
  <pageMargins left="0.708333333333333" right="0.708333333333333" top="0.747916666666667" bottom="0.747916666666667" header="0.511811023622047" footer="0.511811023622047"/>
  <pageSetup orientation="portrait" paperSize="9" scale="92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3"/>
  <sheetViews>
    <sheetView view="pageBreakPreview" zoomScaleNormal="70" workbookViewId="0">
      <selection activeCell="C16" sqref="C16"/>
    </sheetView>
  </sheetViews>
  <sheetFormatPr baseColWidth="10" defaultColWidth="10" defaultRowHeight="17.25" customHeight="1"/>
  <cols>
    <col collapsed="1" width="12.81640625" customWidth="1" style="782" min="1" max="1"/>
    <col collapsed="1" width="75.453125" customWidth="1" style="782" min="2" max="2"/>
    <col collapsed="1" width="22.6328125" customWidth="1" style="40" min="3" max="5"/>
    <col collapsed="1" width="10" customWidth="1" style="782" min="6" max="16384"/>
  </cols>
  <sheetData>
    <row r="1" ht="19.5" customHeight="1" s="885">
      <c r="A1" s="893" t="inlineStr">
        <is>
          <t>LISTE DES ETATS PRUDENTIELS A RENSEIGNER</t>
        </is>
      </c>
      <c r="B1" s="886" t="n"/>
      <c r="C1" s="886" t="n"/>
      <c r="D1" s="886" t="n"/>
      <c r="E1" s="886" t="n"/>
    </row>
    <row r="2" ht="18" customHeight="1" s="885">
      <c r="A2" s="893" t="n"/>
      <c r="B2" s="893" t="n"/>
      <c r="C2" s="893" t="n"/>
      <c r="D2" s="893" t="n"/>
      <c r="E2" s="893" t="n"/>
    </row>
    <row r="3" ht="18" customHeight="1" s="885">
      <c r="A3" s="42" t="n"/>
      <c r="B3" s="43" t="n"/>
      <c r="C3" s="43" t="n"/>
      <c r="D3" s="893" t="n"/>
      <c r="E3" s="893" t="n"/>
    </row>
    <row r="4" ht="9.75" customHeight="1" s="885">
      <c r="A4" s="44" t="n"/>
      <c r="B4" s="44" t="n"/>
      <c r="C4" s="42" t="n"/>
      <c r="D4" s="893" t="n"/>
      <c r="E4" s="893" t="n"/>
    </row>
    <row r="5" ht="18" customHeight="1" s="885">
      <c r="A5" s="44" t="n"/>
      <c r="B5" s="44" t="n"/>
      <c r="C5" s="42" t="n"/>
      <c r="D5" s="893" t="n"/>
      <c r="E5" s="893" t="n"/>
    </row>
    <row r="6" ht="18" customHeight="1" s="885">
      <c r="A6" s="42" t="n"/>
      <c r="B6" s="44" t="n"/>
      <c r="C6" s="42" t="n"/>
      <c r="D6" s="893" t="n"/>
      <c r="E6" s="893" t="n"/>
    </row>
    <row r="7" ht="18" customHeight="1" s="885">
      <c r="A7" s="42" t="n"/>
      <c r="B7" s="44" t="n"/>
      <c r="C7" s="42" t="n"/>
      <c r="D7" s="893" t="n"/>
      <c r="E7" s="893" t="n"/>
    </row>
    <row r="8" ht="17.25" customHeight="1" s="885">
      <c r="A8" s="719" t="inlineStr">
        <is>
          <t>N° Etat prudentiel</t>
        </is>
      </c>
      <c r="B8" s="720" t="inlineStr">
        <is>
          <t>Intitulé</t>
        </is>
      </c>
      <c r="C8" s="721" t="inlineStr">
        <is>
          <t>Sur une Base</t>
        </is>
      </c>
      <c r="D8" s="894" t="n"/>
      <c r="E8" s="895" t="n"/>
    </row>
    <row r="9" ht="33" customHeight="1" s="885">
      <c r="A9" s="896" t="n"/>
      <c r="B9" s="897" t="n"/>
      <c r="C9" s="46" t="inlineStr">
        <is>
          <t>Individuelle</t>
        </is>
      </c>
      <c r="D9" s="46" t="inlineStr">
        <is>
          <t>Sous-consolidée</t>
        </is>
      </c>
      <c r="E9" s="46" t="inlineStr">
        <is>
          <t>Consolidée</t>
        </is>
      </c>
    </row>
    <row r="10" ht="38.25" customFormat="1" customHeight="1" s="50">
      <c r="A10" s="47" t="inlineStr">
        <is>
          <t>EP01</t>
        </is>
      </c>
      <c r="B10" s="48" t="inlineStr">
        <is>
          <t>Etat de conformité aux normes prudentielles</t>
        </is>
      </c>
      <c r="C10" s="49" t="n">
        <v>68</v>
      </c>
      <c r="D10" s="49" t="n">
        <v>68</v>
      </c>
      <c r="E10" s="49" t="n">
        <v>68</v>
      </c>
    </row>
    <row r="11" ht="38.25" customFormat="1" customHeight="1" s="50">
      <c r="A11" s="48" t="inlineStr">
        <is>
          <t>EP02</t>
        </is>
      </c>
      <c r="B11" s="48" t="inlineStr">
        <is>
          <t>Calcul des ratios de solvabilité</t>
        </is>
      </c>
      <c r="C11" s="49" t="n">
        <v>68</v>
      </c>
      <c r="D11" s="49" t="n">
        <v>68</v>
      </c>
      <c r="E11" s="49" t="n">
        <v>68</v>
      </c>
    </row>
    <row r="12" ht="38.25" customFormat="1" customHeight="1" s="50">
      <c r="A12" s="48" t="inlineStr">
        <is>
          <t>EP03</t>
        </is>
      </c>
      <c r="B12" s="48" t="inlineStr">
        <is>
          <t>Calcul des fonds propres sur base individuelle</t>
        </is>
      </c>
      <c r="C12" s="49" t="n">
        <v>68</v>
      </c>
      <c r="D12" s="49" t="n">
        <v>32</v>
      </c>
      <c r="E12" s="49" t="n">
        <v>32</v>
      </c>
    </row>
    <row r="13" ht="38.25" customFormat="1" customHeight="1" s="50">
      <c r="A13" s="48" t="inlineStr">
        <is>
          <t>EP04</t>
        </is>
      </c>
      <c r="B13" s="48" t="inlineStr">
        <is>
          <t>Dispositions transitoires sur base individuelle : Retrait progressif des éléments de fonds propres non admissibles</t>
        </is>
      </c>
      <c r="C13" s="49" t="n">
        <v>68</v>
      </c>
      <c r="D13" s="49" t="n">
        <v>32</v>
      </c>
      <c r="E13" s="49" t="n">
        <v>32</v>
      </c>
    </row>
    <row r="14" ht="38.25" customFormat="1" customHeight="1" s="50">
      <c r="A14" s="48" t="inlineStr">
        <is>
          <t>EP05</t>
        </is>
      </c>
      <c r="B14" s="48" t="inlineStr">
        <is>
          <t>Calcul des fonds propres sur base consolidée</t>
        </is>
      </c>
      <c r="C14" s="49" t="n">
        <v>32</v>
      </c>
      <c r="D14" s="49" t="n">
        <v>68</v>
      </c>
      <c r="E14" s="49" t="n">
        <v>68</v>
      </c>
    </row>
    <row r="15" ht="38.25" customFormat="1" customHeight="1" s="50">
      <c r="A15" s="48" t="inlineStr">
        <is>
          <t>EP06</t>
        </is>
      </c>
      <c r="B15" s="48" t="inlineStr">
        <is>
          <t>Dispositions transitoires sur base consolidée : Retrait progressif des éléments de fonds propres non admissibles</t>
        </is>
      </c>
      <c r="C15" s="49" t="n">
        <v>32</v>
      </c>
      <c r="D15" s="49" t="n">
        <v>68</v>
      </c>
      <c r="E15" s="49" t="n">
        <v>68</v>
      </c>
    </row>
    <row r="16" ht="38.25" customFormat="1" customHeight="1" s="50">
      <c r="A16" s="48" t="inlineStr">
        <is>
          <t>EP07</t>
        </is>
      </c>
      <c r="B16" s="48" t="inlineStr">
        <is>
          <t>Fonds propres admissibles émis par des filiales</t>
        </is>
      </c>
      <c r="C16" s="49" t="n">
        <v>32</v>
      </c>
      <c r="D16" s="49" t="n">
        <v>68</v>
      </c>
      <c r="E16" s="49" t="n">
        <v>68</v>
      </c>
    </row>
    <row r="17" ht="38.25" customFormat="1" customHeight="1" s="50">
      <c r="A17" s="48" t="inlineStr">
        <is>
          <t>EP08</t>
        </is>
      </c>
      <c r="B17" s="48" t="inlineStr">
        <is>
          <t>Total des actifs pondérés des risques</t>
        </is>
      </c>
      <c r="C17" s="49" t="n">
        <v>68</v>
      </c>
      <c r="D17" s="49" t="n">
        <v>68</v>
      </c>
      <c r="E17" s="49" t="n">
        <v>68</v>
      </c>
    </row>
    <row r="18" ht="38.25" customFormat="1" customHeight="1" s="50">
      <c r="A18" s="48" t="inlineStr">
        <is>
          <t>EP09</t>
        </is>
      </c>
      <c r="B18" s="48" t="inlineStr">
        <is>
          <t>Ventilation du bilan entre les différentes catégories d'expositions</t>
        </is>
      </c>
      <c r="C18" s="49" t="n">
        <v>68</v>
      </c>
      <c r="D18" s="49" t="n">
        <v>68</v>
      </c>
      <c r="E18" s="49" t="n">
        <v>68</v>
      </c>
    </row>
    <row r="19" ht="38.25" customFormat="1" customHeight="1" s="50">
      <c r="A19" s="48" t="inlineStr">
        <is>
          <t>EP10</t>
        </is>
      </c>
      <c r="B19" s="48" t="inlineStr">
        <is>
          <t>Ventilation des engagements totaux hors-bilan entre les différentes catégories d'expositions</t>
        </is>
      </c>
      <c r="C19" s="49" t="n">
        <v>68</v>
      </c>
      <c r="D19" s="49" t="n">
        <v>68</v>
      </c>
      <c r="E19" s="49" t="n">
        <v>68</v>
      </c>
    </row>
    <row r="20" ht="38.25" customFormat="1" customHeight="1" s="50">
      <c r="A20" s="48" t="inlineStr">
        <is>
          <t>EP11</t>
        </is>
      </c>
      <c r="B20" s="51" t="inlineStr">
        <is>
          <t>Expositions au risque de contrepartie</t>
        </is>
      </c>
      <c r="C20" s="49" t="n">
        <v>68</v>
      </c>
      <c r="D20" s="49" t="n">
        <v>68</v>
      </c>
      <c r="E20" s="49" t="n">
        <v>68</v>
      </c>
    </row>
    <row r="21" ht="38.25" customFormat="1" customHeight="1" s="50">
      <c r="A21" s="48" t="inlineStr">
        <is>
          <t>EP12</t>
        </is>
      </c>
      <c r="B21" s="51" t="inlineStr">
        <is>
          <t>Risque de crédit : expositions sur les souverains</t>
        </is>
      </c>
      <c r="C21" s="49" t="n">
        <v>68</v>
      </c>
      <c r="D21" s="49" t="n">
        <v>68</v>
      </c>
      <c r="E21" s="49" t="n">
        <v>68</v>
      </c>
    </row>
    <row r="22" ht="38.25" customFormat="1" customHeight="1" s="50">
      <c r="A22" s="48" t="inlineStr">
        <is>
          <t>EP13</t>
        </is>
      </c>
      <c r="B22" s="51" t="inlineStr">
        <is>
          <t>Risque de crédit : expositions sur les organismes publics hors administration centrale</t>
        </is>
      </c>
      <c r="C22" s="49" t="n">
        <v>68</v>
      </c>
      <c r="D22" s="49" t="n">
        <v>68</v>
      </c>
      <c r="E22" s="49" t="n">
        <v>68</v>
      </c>
    </row>
    <row r="23" ht="38.25" customFormat="1" customHeight="1" s="50">
      <c r="A23" s="48" t="inlineStr">
        <is>
          <t>EP14</t>
        </is>
      </c>
      <c r="B23" s="51" t="inlineStr">
        <is>
          <t>Risque de crédit : expositions sur les banques multilatérales de développement</t>
        </is>
      </c>
      <c r="C23" s="49" t="n">
        <v>68</v>
      </c>
      <c r="D23" s="49" t="n">
        <v>68</v>
      </c>
      <c r="E23" s="49" t="n">
        <v>68</v>
      </c>
    </row>
    <row r="24" ht="38.25" customFormat="1" customHeight="1" s="50">
      <c r="A24" s="48" t="inlineStr">
        <is>
          <t>EP15</t>
        </is>
      </c>
      <c r="B24" s="51" t="inlineStr">
        <is>
          <t>Risque de crédit : expositions sur les institutions financières</t>
        </is>
      </c>
      <c r="C24" s="49" t="n">
        <v>68</v>
      </c>
      <c r="D24" s="49" t="n">
        <v>68</v>
      </c>
      <c r="E24" s="49" t="n">
        <v>68</v>
      </c>
    </row>
    <row r="25" ht="38.25" customFormat="1" customHeight="1" s="50">
      <c r="A25" s="48" t="inlineStr">
        <is>
          <t>EP16</t>
        </is>
      </c>
      <c r="B25" s="51" t="inlineStr">
        <is>
          <t>Risque de crédit : expositions sur les entreprises</t>
        </is>
      </c>
      <c r="C25" s="49" t="n">
        <v>68</v>
      </c>
      <c r="D25" s="49" t="n">
        <v>68</v>
      </c>
      <c r="E25" s="49" t="n">
        <v>68</v>
      </c>
    </row>
    <row r="26" ht="38.25" customFormat="1" customHeight="1" s="50">
      <c r="A26" s="48" t="inlineStr">
        <is>
          <t>EP17</t>
        </is>
      </c>
      <c r="B26" s="51" t="inlineStr">
        <is>
          <t>Risque de crédit : expositions sur la clientèle de détail</t>
        </is>
      </c>
      <c r="C26" s="49" t="n">
        <v>68</v>
      </c>
      <c r="D26" s="49" t="n">
        <v>68</v>
      </c>
      <c r="E26" s="49" t="n">
        <v>68</v>
      </c>
    </row>
    <row r="27" ht="38.25" customFormat="1" customHeight="1" s="50">
      <c r="A27" s="48" t="inlineStr">
        <is>
          <t>EP18</t>
        </is>
      </c>
      <c r="B27" s="51" t="inlineStr">
        <is>
          <t>Risque de crédit : expositions sur les prêts garantis par l'immobilier résidentiel</t>
        </is>
      </c>
      <c r="C27" s="49" t="n">
        <v>68</v>
      </c>
      <c r="D27" s="49" t="n">
        <v>68</v>
      </c>
      <c r="E27" s="49" t="n">
        <v>68</v>
      </c>
    </row>
    <row r="28" ht="38.25" customFormat="1" customHeight="1" s="50">
      <c r="A28" s="48" t="inlineStr">
        <is>
          <t>EP19</t>
        </is>
      </c>
      <c r="B28" s="51" t="inlineStr">
        <is>
          <t>Risque de crédit : expositions sur les prêts garantis par l'immobilier commercial</t>
        </is>
      </c>
      <c r="C28" s="49" t="n">
        <v>68</v>
      </c>
      <c r="D28" s="49" t="n">
        <v>68</v>
      </c>
      <c r="E28" s="49" t="n">
        <v>68</v>
      </c>
    </row>
    <row r="29" ht="38.25" customFormat="1" customHeight="1" s="50">
      <c r="A29" s="48" t="inlineStr">
        <is>
          <t>EP20</t>
        </is>
      </c>
      <c r="B29" s="51" t="inlineStr">
        <is>
          <t>Risque de crédit : expositions sur les autres actifs</t>
        </is>
      </c>
      <c r="C29" s="49" t="n">
        <v>68</v>
      </c>
      <c r="D29" s="49" t="n">
        <v>68</v>
      </c>
      <c r="E29" s="49" t="n">
        <v>68</v>
      </c>
    </row>
    <row r="30" ht="38.25" customFormat="1" customHeight="1" s="50">
      <c r="A30" s="48" t="inlineStr">
        <is>
          <t>EP21</t>
        </is>
      </c>
      <c r="B30" s="51" t="inlineStr">
        <is>
          <t xml:space="preserve">Risque opérationnel : exigences de fonds propres au titre de l'approche indicateur de base </t>
        </is>
      </c>
      <c r="C30" s="49" t="n">
        <v>68</v>
      </c>
      <c r="D30" s="49" t="n">
        <v>68</v>
      </c>
      <c r="E30" s="49" t="n">
        <v>68</v>
      </c>
    </row>
    <row r="31" ht="38.25" customFormat="1" customHeight="1" s="50">
      <c r="A31" s="48" t="inlineStr">
        <is>
          <t>EP22</t>
        </is>
      </c>
      <c r="B31" s="51" t="inlineStr">
        <is>
          <t xml:space="preserve">Risque opérationnel : collecte des données de pertes au titre de l'approche indicateur de base </t>
        </is>
      </c>
      <c r="C31" s="49" t="n">
        <v>68</v>
      </c>
      <c r="D31" s="49" t="n">
        <v>68</v>
      </c>
      <c r="E31" s="49" t="n">
        <v>68</v>
      </c>
    </row>
    <row r="32" ht="38.25" customFormat="1" customHeight="1" s="50">
      <c r="A32" s="48" t="inlineStr">
        <is>
          <t>EP23</t>
        </is>
      </c>
      <c r="B32" s="51" t="inlineStr">
        <is>
          <t>Risque opérationnel : exigences de fonds propres au titre de l'approche standard</t>
        </is>
      </c>
      <c r="C32" s="49" t="n">
        <v>68</v>
      </c>
      <c r="D32" s="49" t="n">
        <v>68</v>
      </c>
      <c r="E32" s="49" t="n">
        <v>68</v>
      </c>
    </row>
    <row r="33" ht="38.25" customFormat="1" customHeight="1" s="50">
      <c r="A33" s="48" t="inlineStr">
        <is>
          <t>EP24</t>
        </is>
      </c>
      <c r="B33" s="51" t="inlineStr">
        <is>
          <t>Risque opérationnel : collecte des données de pertes au titre de l'approche standard</t>
        </is>
      </c>
      <c r="C33" s="49" t="n">
        <v>68</v>
      </c>
      <c r="D33" s="49" t="n">
        <v>68</v>
      </c>
      <c r="E33" s="49" t="n">
        <v>68</v>
      </c>
    </row>
    <row r="34" ht="38.25" customFormat="1" customHeight="1" s="50">
      <c r="A34" s="48" t="inlineStr">
        <is>
          <t>EP25</t>
        </is>
      </c>
      <c r="B34" s="51" t="inlineStr">
        <is>
          <t>Risque de marché : exigences de fonds propres au titre du risque de taux d'intérêt du portefeuille de négociation</t>
        </is>
      </c>
      <c r="C34" s="49" t="n">
        <v>68</v>
      </c>
      <c r="D34" s="49" t="n">
        <v>68</v>
      </c>
      <c r="E34" s="49" t="n">
        <v>68</v>
      </c>
    </row>
    <row r="35" ht="38.25" customFormat="1" customHeight="1" s="50">
      <c r="A35" s="48" t="inlineStr">
        <is>
          <t>EP26</t>
        </is>
      </c>
      <c r="B35" s="51" t="inlineStr">
        <is>
          <t>Risque de marché : exigences de fonds propres au titre du risque de positions sur titres de propriété du portefeuille de négociation</t>
        </is>
      </c>
      <c r="C35" s="49" t="n">
        <v>68</v>
      </c>
      <c r="D35" s="49" t="n">
        <v>68</v>
      </c>
      <c r="E35" s="49" t="n">
        <v>68</v>
      </c>
    </row>
    <row r="36" ht="38.25" customFormat="1" customHeight="1" s="50">
      <c r="A36" s="48" t="inlineStr">
        <is>
          <t>EP27</t>
        </is>
      </c>
      <c r="B36" s="51" t="inlineStr">
        <is>
          <t>Risque de marché : exigences de fonds propres au titre du risque de change</t>
        </is>
      </c>
      <c r="C36" s="49" t="n">
        <v>68</v>
      </c>
      <c r="D36" s="49" t="n">
        <v>68</v>
      </c>
      <c r="E36" s="49" t="n">
        <v>68</v>
      </c>
    </row>
    <row r="37" ht="38.25" customFormat="1" customHeight="1" s="50">
      <c r="A37" s="48" t="inlineStr">
        <is>
          <t>EP28</t>
        </is>
      </c>
      <c r="B37" s="51" t="inlineStr">
        <is>
          <t>Risque de marché : exigences de fonds propres au titre du risque de positions sur produits de base</t>
        </is>
      </c>
      <c r="C37" s="49" t="n">
        <v>68</v>
      </c>
      <c r="D37" s="49" t="n">
        <v>68</v>
      </c>
      <c r="E37" s="49" t="n">
        <v>68</v>
      </c>
    </row>
    <row r="38" ht="38.25" customFormat="1" customHeight="1" s="50">
      <c r="A38" s="48" t="inlineStr">
        <is>
          <t>EP29</t>
        </is>
      </c>
      <c r="B38" s="51" t="inlineStr">
        <is>
          <t>Grands risques du portefeuille bancaire et de négociation</t>
        </is>
      </c>
      <c r="C38" s="49" t="n">
        <v>68</v>
      </c>
      <c r="D38" s="49" t="n">
        <v>68</v>
      </c>
      <c r="E38" s="49" t="n">
        <v>68</v>
      </c>
    </row>
    <row r="39" ht="38.25" customFormat="1" customHeight="1" s="50">
      <c r="A39" s="48" t="inlineStr">
        <is>
          <t>EP30</t>
        </is>
      </c>
      <c r="B39" s="51" t="inlineStr">
        <is>
          <t>Détails des risques sur les clients individuels des groupes de clients liés</t>
        </is>
      </c>
      <c r="C39" s="49" t="n">
        <v>68</v>
      </c>
      <c r="D39" s="49" t="n">
        <v>68</v>
      </c>
      <c r="E39" s="49" t="n">
        <v>68</v>
      </c>
    </row>
    <row r="40" ht="38.25" customFormat="1" customHeight="1" s="50">
      <c r="A40" s="48" t="inlineStr">
        <is>
          <t>EP31</t>
        </is>
      </c>
      <c r="B40" s="51" t="inlineStr">
        <is>
          <t>20 plus grandes expositions du portefeuille bancaire et de négociation par catégories d'échéances des risques</t>
        </is>
      </c>
      <c r="C40" s="49" t="n">
        <v>68</v>
      </c>
      <c r="D40" s="49" t="n">
        <v>68</v>
      </c>
      <c r="E40" s="49" t="n">
        <v>68</v>
      </c>
    </row>
    <row r="41" ht="38.25" customFormat="1" customHeight="1" s="50">
      <c r="A41" s="48" t="inlineStr">
        <is>
          <t>EP32</t>
        </is>
      </c>
      <c r="B41" s="51" t="inlineStr">
        <is>
          <t>Déclaration des 50 plus gros engagements</t>
        </is>
      </c>
      <c r="C41" s="49" t="n">
        <v>68</v>
      </c>
      <c r="D41" s="49" t="n">
        <v>68</v>
      </c>
      <c r="E41" s="49" t="n">
        <v>68</v>
      </c>
    </row>
    <row r="42" ht="38.25" customFormat="1" customHeight="1" s="50">
      <c r="A42" s="48" t="inlineStr">
        <is>
          <t>EP33</t>
        </is>
      </c>
      <c r="B42" s="51" t="inlineStr">
        <is>
          <t>Ratio de levier</t>
        </is>
      </c>
      <c r="C42" s="49" t="n">
        <v>68</v>
      </c>
      <c r="D42" s="49" t="n">
        <v>68</v>
      </c>
      <c r="E42" s="49" t="n">
        <v>68</v>
      </c>
    </row>
    <row r="43" ht="38.25" customFormat="1" customHeight="1" s="50">
      <c r="A43" s="48" t="inlineStr">
        <is>
          <t>EP34</t>
        </is>
      </c>
      <c r="B43" s="51" t="inlineStr">
        <is>
          <t>Participations de l'établissement</t>
        </is>
      </c>
      <c r="C43" s="49" t="n">
        <v>68</v>
      </c>
      <c r="D43" s="49" t="n">
        <v>68</v>
      </c>
      <c r="E43" s="49" t="n">
        <v>68</v>
      </c>
    </row>
    <row r="44" ht="38.25" customFormat="1" customHeight="1" s="50">
      <c r="A44" s="48" t="inlineStr">
        <is>
          <t>EP35</t>
        </is>
      </c>
      <c r="B44" s="51" t="inlineStr">
        <is>
          <t xml:space="preserve">Participations dans des entités commerciales </t>
        </is>
      </c>
      <c r="C44" s="49" t="n">
        <v>68</v>
      </c>
      <c r="D44" s="49" t="n">
        <v>68</v>
      </c>
      <c r="E44" s="49" t="n">
        <v>68</v>
      </c>
    </row>
    <row r="45" ht="38.25" customFormat="1" customHeight="1" s="50">
      <c r="A45" s="48" t="inlineStr">
        <is>
          <t>EP36</t>
        </is>
      </c>
      <c r="B45" s="51" t="inlineStr">
        <is>
          <t>Immobilisations hors-exploitation et participations dans des sociétés immobilières</t>
        </is>
      </c>
      <c r="C45" s="49" t="n">
        <v>68</v>
      </c>
      <c r="D45" s="49" t="n">
        <v>68</v>
      </c>
      <c r="E45" s="49" t="n">
        <v>68</v>
      </c>
    </row>
    <row r="46" ht="38.25" customFormat="1" customHeight="1" s="50">
      <c r="A46" s="48" t="inlineStr">
        <is>
          <t>EP37</t>
        </is>
      </c>
      <c r="B46" s="51" t="inlineStr">
        <is>
          <t>Immobilisations et participations</t>
        </is>
      </c>
      <c r="C46" s="49" t="n">
        <v>68</v>
      </c>
      <c r="D46" s="49" t="n">
        <v>68</v>
      </c>
      <c r="E46" s="49" t="n">
        <v>68</v>
      </c>
    </row>
    <row r="47" ht="38.25" customFormat="1" customHeight="1" s="50">
      <c r="A47" s="48" t="inlineStr">
        <is>
          <t>EP38</t>
        </is>
      </c>
      <c r="B47" s="51" t="inlineStr">
        <is>
          <t>Prêts aux principaux actionnaires, aux dirigeants, au personnel et aux parties liées</t>
        </is>
      </c>
      <c r="C47" s="49" t="n">
        <v>68</v>
      </c>
      <c r="D47" s="49" t="n">
        <v>68</v>
      </c>
      <c r="E47" s="49" t="n">
        <v>68</v>
      </c>
    </row>
    <row r="48" ht="38.25" customFormat="1" customHeight="1" s="50">
      <c r="A48" s="48" t="inlineStr">
        <is>
          <t>EP39</t>
        </is>
      </c>
      <c r="B48" s="51" t="inlineStr">
        <is>
          <t>Liste des principaux actionnaires, dirigeants, membres du personnel et parties liées bénéficiant de prêts significatifs</t>
        </is>
      </c>
      <c r="C48" s="49" t="n">
        <v>68</v>
      </c>
      <c r="D48" s="49" t="n">
        <v>68</v>
      </c>
      <c r="E48" s="49" t="n">
        <v>68</v>
      </c>
    </row>
    <row r="49" ht="17.5" customFormat="1" customHeight="1" s="50">
      <c r="C49" s="52" t="n"/>
      <c r="D49" s="52" t="n"/>
      <c r="E49" s="52" t="n"/>
    </row>
    <row r="50" ht="17.5" customFormat="1" customHeight="1" s="50">
      <c r="C50" s="52" t="n"/>
      <c r="D50" s="52" t="n"/>
      <c r="E50" s="52" t="n"/>
    </row>
    <row r="51" ht="17.5" customFormat="1" customHeight="1" s="50">
      <c r="C51" s="52" t="n"/>
      <c r="D51" s="52" t="n"/>
      <c r="E51" s="52" t="n"/>
    </row>
    <row r="52" ht="17.5" customFormat="1" customHeight="1" s="50">
      <c r="C52" s="52" t="n"/>
      <c r="D52" s="52" t="n"/>
      <c r="E52" s="52" t="n"/>
    </row>
    <row r="53" ht="17.5" customFormat="1" customHeight="1" s="50">
      <c r="C53" s="52" t="n"/>
      <c r="D53" s="52" t="n"/>
      <c r="E53" s="52" t="n"/>
    </row>
    <row r="54" ht="17.5" customFormat="1" customHeight="1" s="50">
      <c r="C54" s="52" t="n"/>
      <c r="D54" s="52" t="n"/>
      <c r="E54" s="52" t="n"/>
    </row>
    <row r="55" ht="17.5" customFormat="1" customHeight="1" s="50">
      <c r="C55" s="52" t="n"/>
      <c r="D55" s="52" t="n"/>
      <c r="E55" s="52" t="n"/>
    </row>
    <row r="56" ht="17.5" customFormat="1" customHeight="1" s="50">
      <c r="C56" s="52" t="n"/>
      <c r="D56" s="52" t="n"/>
      <c r="E56" s="52" t="n"/>
    </row>
    <row r="57" ht="17.5" customFormat="1" customHeight="1" s="50">
      <c r="C57" s="52" t="n"/>
      <c r="D57" s="52" t="n"/>
      <c r="E57" s="52" t="n"/>
    </row>
    <row r="58" ht="17.5" customFormat="1" customHeight="1" s="50">
      <c r="C58" s="52" t="n"/>
      <c r="D58" s="52" t="n"/>
      <c r="E58" s="52" t="n"/>
    </row>
    <row r="59" ht="17.5" customFormat="1" customHeight="1" s="50">
      <c r="C59" s="52" t="n"/>
      <c r="D59" s="52" t="n"/>
      <c r="E59" s="52" t="n"/>
    </row>
    <row r="60" ht="17.5" customFormat="1" customHeight="1" s="50">
      <c r="C60" s="52" t="n"/>
      <c r="D60" s="52" t="n"/>
      <c r="E60" s="52" t="n"/>
    </row>
    <row r="61" ht="17.5" customFormat="1" customHeight="1" s="50">
      <c r="C61" s="52" t="n"/>
      <c r="D61" s="52" t="n"/>
      <c r="E61" s="52" t="n"/>
    </row>
    <row r="62" ht="17.5" customFormat="1" customHeight="1" s="50">
      <c r="C62" s="52" t="n"/>
      <c r="D62" s="52" t="n"/>
      <c r="E62" s="52" t="n"/>
    </row>
    <row r="63" ht="17.5" customFormat="1" customHeight="1" s="50">
      <c r="C63" s="52" t="n"/>
      <c r="D63" s="52" t="n"/>
      <c r="E63" s="52" t="n"/>
    </row>
    <row r="64" ht="17.5" customFormat="1" customHeight="1" s="50">
      <c r="C64" s="52" t="n"/>
      <c r="D64" s="52" t="n"/>
      <c r="E64" s="52" t="n"/>
    </row>
    <row r="65" ht="17.5" customFormat="1" customHeight="1" s="50">
      <c r="C65" s="52" t="n"/>
      <c r="D65" s="52" t="n"/>
      <c r="E65" s="52" t="n"/>
    </row>
    <row r="66" ht="17.5" customFormat="1" customHeight="1" s="50">
      <c r="C66" s="52" t="n"/>
      <c r="D66" s="52" t="n"/>
      <c r="E66" s="52" t="n"/>
    </row>
    <row r="67" ht="17.5" customFormat="1" customHeight="1" s="50">
      <c r="C67" s="52" t="n"/>
      <c r="D67" s="52" t="n"/>
      <c r="E67" s="52" t="n"/>
    </row>
    <row r="68" ht="17.5" customFormat="1" customHeight="1" s="50">
      <c r="C68" s="52" t="n"/>
      <c r="D68" s="52" t="n"/>
      <c r="E68" s="52" t="n"/>
    </row>
    <row r="69" ht="17.5" customFormat="1" customHeight="1" s="50">
      <c r="C69" s="52" t="n"/>
      <c r="D69" s="52" t="n"/>
      <c r="E69" s="52" t="n"/>
    </row>
    <row r="70" ht="17.5" customFormat="1" customHeight="1" s="50">
      <c r="C70" s="52" t="n"/>
      <c r="D70" s="52" t="n"/>
      <c r="E70" s="52" t="n"/>
    </row>
    <row r="71" ht="17.5" customFormat="1" customHeight="1" s="50">
      <c r="C71" s="52" t="n"/>
      <c r="D71" s="52" t="n"/>
      <c r="E71" s="52" t="n"/>
    </row>
    <row r="72" ht="17.5" customFormat="1" customHeight="1" s="50">
      <c r="C72" s="52" t="n"/>
      <c r="D72" s="52" t="n"/>
      <c r="E72" s="52" t="n"/>
    </row>
    <row r="73" ht="17.5" customFormat="1" customHeight="1" s="50">
      <c r="C73" s="52" t="n"/>
      <c r="D73" s="52" t="n"/>
      <c r="E73" s="52" t="n"/>
    </row>
    <row r="74" ht="17.5" customFormat="1" customHeight="1" s="50">
      <c r="C74" s="52" t="n"/>
      <c r="D74" s="52" t="n"/>
      <c r="E74" s="52" t="n"/>
    </row>
    <row r="75" ht="17.5" customFormat="1" customHeight="1" s="50">
      <c r="C75" s="52" t="n"/>
      <c r="D75" s="52" t="n"/>
      <c r="E75" s="52" t="n"/>
    </row>
    <row r="76" ht="17.5" customFormat="1" customHeight="1" s="50">
      <c r="C76" s="52" t="n"/>
      <c r="D76" s="52" t="n"/>
      <c r="E76" s="52" t="n"/>
    </row>
    <row r="77" ht="17.5" customFormat="1" customHeight="1" s="50">
      <c r="C77" s="52" t="n"/>
      <c r="D77" s="52" t="n"/>
      <c r="E77" s="52" t="n"/>
    </row>
    <row r="78" ht="17.5" customFormat="1" customHeight="1" s="50">
      <c r="C78" s="52" t="n"/>
      <c r="D78" s="52" t="n"/>
      <c r="E78" s="52" t="n"/>
    </row>
    <row r="79" ht="17.5" customFormat="1" customHeight="1" s="50">
      <c r="C79" s="52" t="n"/>
      <c r="D79" s="52" t="n"/>
      <c r="E79" s="52" t="n"/>
    </row>
    <row r="80" ht="17.5" customFormat="1" customHeight="1" s="50">
      <c r="C80" s="52" t="n"/>
      <c r="D80" s="52" t="n"/>
      <c r="E80" s="52" t="n"/>
    </row>
    <row r="81" ht="17.5" customFormat="1" customHeight="1" s="50">
      <c r="C81" s="52" t="n"/>
      <c r="D81" s="52" t="n"/>
      <c r="E81" s="52" t="n"/>
    </row>
    <row r="82" ht="17.5" customFormat="1" customHeight="1" s="50">
      <c r="C82" s="52" t="n"/>
      <c r="D82" s="52" t="n"/>
      <c r="E82" s="52" t="n"/>
    </row>
    <row r="83" ht="17.5" customFormat="1" customHeight="1" s="50">
      <c r="C83" s="52" t="n"/>
      <c r="D83" s="52" t="n"/>
      <c r="E83" s="52" t="n"/>
    </row>
    <row r="84" ht="17.5" customFormat="1" customHeight="1" s="50">
      <c r="C84" s="52" t="n"/>
      <c r="D84" s="52" t="n"/>
      <c r="E84" s="52" t="n"/>
    </row>
    <row r="85" ht="17.5" customFormat="1" customHeight="1" s="50">
      <c r="C85" s="52" t="n"/>
      <c r="D85" s="52" t="n"/>
      <c r="E85" s="52" t="n"/>
    </row>
    <row r="86" ht="17.5" customFormat="1" customHeight="1" s="50">
      <c r="C86" s="52" t="n"/>
      <c r="D86" s="52" t="n"/>
      <c r="E86" s="52" t="n"/>
    </row>
    <row r="87" ht="17.5" customFormat="1" customHeight="1" s="50">
      <c r="C87" s="52" t="n"/>
      <c r="D87" s="52" t="n"/>
      <c r="E87" s="52" t="n"/>
    </row>
    <row r="88" ht="17.5" customFormat="1" customHeight="1" s="50">
      <c r="C88" s="52" t="n"/>
      <c r="D88" s="52" t="n"/>
      <c r="E88" s="52" t="n"/>
    </row>
    <row r="89" ht="17.5" customFormat="1" customHeight="1" s="50">
      <c r="C89" s="52" t="n"/>
      <c r="D89" s="52" t="n"/>
      <c r="E89" s="52" t="n"/>
    </row>
    <row r="90" ht="17.5" customFormat="1" customHeight="1" s="50">
      <c r="C90" s="52" t="n"/>
      <c r="D90" s="52" t="n"/>
      <c r="E90" s="52" t="n"/>
    </row>
    <row r="91" ht="17.5" customFormat="1" customHeight="1" s="50">
      <c r="C91" s="52" t="n"/>
      <c r="D91" s="52" t="n"/>
      <c r="E91" s="52" t="n"/>
    </row>
    <row r="92" ht="17.5" customFormat="1" customHeight="1" s="50">
      <c r="C92" s="52" t="n"/>
      <c r="D92" s="52" t="n"/>
      <c r="E92" s="52" t="n"/>
    </row>
    <row r="93" ht="17.5" customFormat="1" customHeight="1" s="50">
      <c r="C93" s="52" t="n"/>
      <c r="D93" s="52" t="n"/>
      <c r="E93" s="52" t="n"/>
    </row>
    <row r="94" ht="17.5" customFormat="1" customHeight="1" s="50">
      <c r="C94" s="52" t="n"/>
      <c r="D94" s="52" t="n"/>
      <c r="E94" s="52" t="n"/>
    </row>
    <row r="95" ht="17.5" customFormat="1" customHeight="1" s="50">
      <c r="C95" s="52" t="n"/>
      <c r="D95" s="52" t="n"/>
      <c r="E95" s="52" t="n"/>
    </row>
    <row r="96" ht="17.5" customFormat="1" customHeight="1" s="50">
      <c r="C96" s="52" t="n"/>
      <c r="D96" s="52" t="n"/>
      <c r="E96" s="52" t="n"/>
    </row>
    <row r="97" ht="17.5" customFormat="1" customHeight="1" s="50">
      <c r="C97" s="52" t="n"/>
      <c r="D97" s="52" t="n"/>
      <c r="E97" s="52" t="n"/>
    </row>
    <row r="98" ht="17.5" customFormat="1" customHeight="1" s="50">
      <c r="C98" s="52" t="n"/>
      <c r="D98" s="52" t="n"/>
      <c r="E98" s="52" t="n"/>
    </row>
    <row r="99" ht="17.5" customFormat="1" customHeight="1" s="50">
      <c r="C99" s="52" t="n"/>
      <c r="D99" s="52" t="n"/>
      <c r="E99" s="52" t="n"/>
    </row>
    <row r="100" ht="17.5" customFormat="1" customHeight="1" s="50">
      <c r="C100" s="52" t="n"/>
      <c r="D100" s="52" t="n"/>
      <c r="E100" s="52" t="n"/>
    </row>
    <row r="101" ht="17.5" customFormat="1" customHeight="1" s="50">
      <c r="C101" s="52" t="n"/>
      <c r="D101" s="52" t="n"/>
      <c r="E101" s="52" t="n"/>
    </row>
    <row r="102" ht="17.5" customFormat="1" customHeight="1" s="50">
      <c r="C102" s="52" t="n"/>
      <c r="D102" s="52" t="n"/>
      <c r="E102" s="52" t="n"/>
    </row>
    <row r="103" ht="17.5" customFormat="1" customHeight="1" s="50">
      <c r="C103" s="52" t="n"/>
      <c r="D103" s="52" t="n"/>
      <c r="E103" s="52" t="n"/>
    </row>
    <row r="104" ht="17.5" customFormat="1" customHeight="1" s="50">
      <c r="C104" s="52" t="n"/>
      <c r="D104" s="52" t="n"/>
      <c r="E104" s="52" t="n"/>
    </row>
    <row r="105" ht="17.5" customFormat="1" customHeight="1" s="50">
      <c r="C105" s="52" t="n"/>
      <c r="D105" s="52" t="n"/>
      <c r="E105" s="52" t="n"/>
    </row>
    <row r="106" ht="17.5" customFormat="1" customHeight="1" s="50">
      <c r="C106" s="52" t="n"/>
      <c r="D106" s="52" t="n"/>
      <c r="E106" s="52" t="n"/>
    </row>
    <row r="107" ht="17.5" customFormat="1" customHeight="1" s="50">
      <c r="C107" s="52" t="n"/>
      <c r="D107" s="52" t="n"/>
      <c r="E107" s="52" t="n"/>
    </row>
    <row r="108" ht="17.5" customFormat="1" customHeight="1" s="50">
      <c r="C108" s="52" t="n"/>
      <c r="D108" s="52" t="n"/>
      <c r="E108" s="52" t="n"/>
    </row>
    <row r="109" ht="17.5" customFormat="1" customHeight="1" s="50">
      <c r="C109" s="52" t="n"/>
      <c r="D109" s="52" t="n"/>
      <c r="E109" s="52" t="n"/>
    </row>
    <row r="110" ht="17.5" customFormat="1" customHeight="1" s="50">
      <c r="C110" s="52" t="n"/>
      <c r="D110" s="52" t="n"/>
      <c r="E110" s="52" t="n"/>
    </row>
    <row r="111" ht="17.5" customFormat="1" customHeight="1" s="50">
      <c r="C111" s="52" t="n"/>
      <c r="D111" s="52" t="n"/>
      <c r="E111" s="52" t="n"/>
    </row>
    <row r="112" ht="17.5" customFormat="1" customHeight="1" s="50">
      <c r="C112" s="52" t="n"/>
      <c r="D112" s="52" t="n"/>
      <c r="E112" s="52" t="n"/>
    </row>
    <row r="113" ht="17.5" customFormat="1" customHeight="1" s="50">
      <c r="C113" s="52" t="n"/>
      <c r="D113" s="52" t="n"/>
      <c r="E113" s="52" t="n"/>
    </row>
    <row r="114" ht="17.5" customFormat="1" customHeight="1" s="50">
      <c r="C114" s="52" t="n"/>
      <c r="D114" s="52" t="n"/>
      <c r="E114" s="52" t="n"/>
    </row>
    <row r="115" ht="17.5" customFormat="1" customHeight="1" s="50">
      <c r="C115" s="52" t="n"/>
      <c r="D115" s="52" t="n"/>
      <c r="E115" s="52" t="n"/>
    </row>
    <row r="116" ht="17.5" customFormat="1" customHeight="1" s="50">
      <c r="C116" s="52" t="n"/>
      <c r="D116" s="52" t="n"/>
      <c r="E116" s="52" t="n"/>
    </row>
    <row r="117" ht="17.5" customFormat="1" customHeight="1" s="50">
      <c r="C117" s="52" t="n"/>
      <c r="D117" s="52" t="n"/>
      <c r="E117" s="52" t="n"/>
    </row>
    <row r="118" ht="17.5" customFormat="1" customHeight="1" s="50">
      <c r="C118" s="52" t="n"/>
      <c r="D118" s="52" t="n"/>
      <c r="E118" s="52" t="n"/>
    </row>
    <row r="119" ht="17.5" customFormat="1" customHeight="1" s="50">
      <c r="C119" s="52" t="n"/>
      <c r="D119" s="52" t="n"/>
      <c r="E119" s="52" t="n"/>
    </row>
    <row r="120" ht="17.5" customFormat="1" customHeight="1" s="50">
      <c r="C120" s="52" t="n"/>
      <c r="D120" s="52" t="n"/>
      <c r="E120" s="52" t="n"/>
    </row>
    <row r="121" ht="17.5" customFormat="1" customHeight="1" s="50">
      <c r="C121" s="52" t="n"/>
      <c r="D121" s="52" t="n"/>
      <c r="E121" s="52" t="n"/>
    </row>
    <row r="122" ht="17.5" customFormat="1" customHeight="1" s="50">
      <c r="C122" s="52" t="n"/>
      <c r="D122" s="52" t="n"/>
      <c r="E122" s="52" t="n"/>
    </row>
    <row r="123" ht="17.5" customFormat="1" customHeight="1" s="50">
      <c r="C123" s="52" t="n"/>
      <c r="D123" s="52" t="n"/>
      <c r="E123" s="52" t="n"/>
    </row>
    <row r="124" ht="17.5" customFormat="1" customHeight="1" s="50">
      <c r="C124" s="52" t="n"/>
      <c r="D124" s="52" t="n"/>
      <c r="E124" s="52" t="n"/>
    </row>
    <row r="125" ht="17.5" customFormat="1" customHeight="1" s="50">
      <c r="C125" s="52" t="n"/>
      <c r="D125" s="52" t="n"/>
      <c r="E125" s="52" t="n"/>
    </row>
    <row r="126" ht="17.5" customFormat="1" customHeight="1" s="50">
      <c r="C126" s="52" t="n"/>
      <c r="D126" s="52" t="n"/>
      <c r="E126" s="52" t="n"/>
    </row>
    <row r="127" ht="17.5" customFormat="1" customHeight="1" s="50">
      <c r="C127" s="52" t="n"/>
      <c r="D127" s="52" t="n"/>
      <c r="E127" s="52" t="n"/>
    </row>
    <row r="128" ht="17.5" customFormat="1" customHeight="1" s="50">
      <c r="C128" s="52" t="n"/>
      <c r="D128" s="52" t="n"/>
      <c r="E128" s="52" t="n"/>
    </row>
    <row r="129" ht="17.5" customFormat="1" customHeight="1" s="50">
      <c r="C129" s="52" t="n"/>
      <c r="D129" s="52" t="n"/>
      <c r="E129" s="52" t="n"/>
    </row>
    <row r="130" ht="17.5" customFormat="1" customHeight="1" s="50">
      <c r="C130" s="52" t="n"/>
      <c r="D130" s="52" t="n"/>
      <c r="E130" s="52" t="n"/>
    </row>
    <row r="131" ht="17.5" customFormat="1" customHeight="1" s="50">
      <c r="C131" s="52" t="n"/>
      <c r="D131" s="52" t="n"/>
      <c r="E131" s="52" t="n"/>
    </row>
    <row r="132" ht="17.5" customFormat="1" customHeight="1" s="50">
      <c r="C132" s="52" t="n"/>
      <c r="D132" s="52" t="n"/>
      <c r="E132" s="52" t="n"/>
    </row>
    <row r="133" ht="17.5" customFormat="1" customHeight="1" s="50">
      <c r="C133" s="52" t="n"/>
      <c r="D133" s="52" t="n"/>
      <c r="E133" s="52" t="n"/>
    </row>
    <row r="134" ht="17.5" customFormat="1" customHeight="1" s="50">
      <c r="C134" s="52" t="n"/>
      <c r="D134" s="52" t="n"/>
      <c r="E134" s="52" t="n"/>
    </row>
    <row r="135" ht="17.5" customFormat="1" customHeight="1" s="50">
      <c r="C135" s="52" t="n"/>
      <c r="D135" s="52" t="n"/>
      <c r="E135" s="52" t="n"/>
    </row>
    <row r="136" ht="17.5" customFormat="1" customHeight="1" s="50">
      <c r="C136" s="52" t="n"/>
      <c r="D136" s="52" t="n"/>
      <c r="E136" s="52" t="n"/>
    </row>
    <row r="137" ht="17.5" customFormat="1" customHeight="1" s="50">
      <c r="C137" s="52" t="n"/>
      <c r="D137" s="52" t="n"/>
      <c r="E137" s="52" t="n"/>
    </row>
    <row r="138" ht="17.5" customFormat="1" customHeight="1" s="50">
      <c r="C138" s="52" t="n"/>
      <c r="D138" s="52" t="n"/>
      <c r="E138" s="52" t="n"/>
    </row>
    <row r="139" ht="17.5" customFormat="1" customHeight="1" s="50">
      <c r="C139" s="52" t="n"/>
      <c r="D139" s="52" t="n"/>
      <c r="E139" s="52" t="n"/>
    </row>
    <row r="140" ht="17.5" customFormat="1" customHeight="1" s="50">
      <c r="C140" s="52" t="n"/>
      <c r="D140" s="52" t="n"/>
      <c r="E140" s="52" t="n"/>
    </row>
    <row r="141" ht="17.5" customFormat="1" customHeight="1" s="50">
      <c r="C141" s="52" t="n"/>
      <c r="D141" s="52" t="n"/>
      <c r="E141" s="52" t="n"/>
    </row>
    <row r="142" ht="17.5" customFormat="1" customHeight="1" s="50">
      <c r="C142" s="52" t="n"/>
      <c r="D142" s="52" t="n"/>
      <c r="E142" s="52" t="n"/>
    </row>
    <row r="143" ht="17.5" customFormat="1" customHeight="1" s="50">
      <c r="C143" s="52" t="n"/>
      <c r="D143" s="52" t="n"/>
      <c r="E143" s="5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OrLdPD9PIkOgFQOkeKm5Q==" formatRows="1" sort="1" spinCount="100000" hashValue="nBVMfmg9hOOxJAJRCW9Xbh7PRVCq53X7JRLCdYig2zU88tOdEwGhzp3KlWNRn0thPLIDpg1evSr5HkcKGLCkxQ=="/>
  <mergeCells count="4">
    <mergeCell ref="B8:B9"/>
    <mergeCell ref="A1:E1"/>
    <mergeCell ref="A8:A9"/>
    <mergeCell ref="C8:E8"/>
  </mergeCells>
  <conditionalFormatting sqref="C10:C12 C14:C48">
    <cfRule type="iconSet" priority="5">
      <iconSet iconSet="3Symbols2" showValue="0">
        <cfvo type="percent" val="0"/>
        <cfvo type="percent" val="33"/>
        <cfvo type="percent" val="67"/>
      </iconSet>
    </cfRule>
  </conditionalFormatting>
  <conditionalFormatting sqref="C13">
    <cfRule type="iconSet" priority="3">
      <iconSet iconSet="3Symbols2" showValue="0">
        <cfvo type="percent" val="0"/>
        <cfvo type="percent" val="33"/>
        <cfvo type="percent" val="67"/>
      </iconSet>
    </cfRule>
  </conditionalFormatting>
  <conditionalFormatting sqref="D10:E14 D16:E48">
    <cfRule type="iconSet" priority="4">
      <iconSet iconSet="3Symbols2" showValue="0">
        <cfvo type="percent" val="0"/>
        <cfvo type="percent" val="33"/>
        <cfvo type="percent" val="67"/>
      </iconSet>
    </cfRule>
  </conditionalFormatting>
  <conditionalFormatting sqref="D15:E15">
    <cfRule type="iconSet" priority="2">
      <iconSet iconSet="3Symbols2" showValue="0">
        <cfvo type="percent" val="0"/>
        <cfvo type="percent" val="33"/>
        <cfvo type="percent" val="67"/>
      </iconSet>
    </cfRule>
  </conditionalFormatting>
  <pageMargins left="0.708333333333333" right="0.708333333333333" top="0.747916666666667" bottom="0.747916666666667" header="0.511811023622047" footer="0.315277777777778"/>
  <pageSetup orientation="portrait" paperSize="9" scale="45" horizontalDpi="300" verticalDpi="300"/>
  <headerFooter>
    <oddHeader/>
    <oddFooter>&amp;R&amp;P</oddFooter>
    <evenHeader/>
    <evenFooter/>
    <firstHeader/>
    <firstFooter/>
  </headerFooter>
  <rowBreaks count="1" manualBreakCount="1">
    <brk id="4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view="pageBreakPreview" zoomScale="70" zoomScaleNormal="60" zoomScaleSheetLayoutView="70" workbookViewId="0">
      <selection activeCell="G10" sqref="G10"/>
    </sheetView>
  </sheetViews>
  <sheetFormatPr baseColWidth="10" defaultColWidth="10" defaultRowHeight="27.75" customHeight="1"/>
  <cols>
    <col collapsed="1" width="11" customWidth="1" style="53" min="1" max="1"/>
    <col collapsed="1" width="10" customWidth="1" style="53" min="2" max="3"/>
    <col collapsed="1" width="23.1796875" customWidth="1" style="53" min="4" max="4"/>
    <col collapsed="1" width="13.90625" customWidth="1" style="53" min="5" max="5"/>
    <col collapsed="1" width="15.1796875" customWidth="1" style="53" min="6" max="7"/>
    <col collapsed="1" width="18.90625" customWidth="1" style="53" min="8" max="8"/>
    <col collapsed="1" width="10" customWidth="1" style="53" min="9" max="16384"/>
  </cols>
  <sheetData>
    <row r="1" ht="19.5" customHeight="1" s="885">
      <c r="A1" s="725" t="inlineStr">
        <is>
          <t xml:space="preserve">                       ETAT DE CONFORMITE AUX NORMES PRUDENTIELLES</t>
        </is>
      </c>
      <c r="H1" s="898" t="inlineStr">
        <is>
          <t>EP01</t>
        </is>
      </c>
    </row>
    <row r="2" ht="31.5" customHeight="1" s="885"/>
    <row r="3" ht="15.5" customFormat="1" customHeight="1" s="55">
      <c r="C3" s="56" t="n"/>
      <c r="D3" s="56" t="n"/>
      <c r="E3" s="899" t="n"/>
      <c r="F3" s="899" t="n"/>
      <c r="G3" s="899" t="n"/>
      <c r="H3" s="899" t="n"/>
      <c r="I3" s="899" t="n"/>
      <c r="J3" s="899" t="n"/>
      <c r="K3" s="899" t="n"/>
      <c r="L3" s="899" t="n"/>
    </row>
    <row r="4" ht="12" customFormat="1" customHeight="1" s="55">
      <c r="A4" s="58" t="n"/>
      <c r="B4" s="58" t="n"/>
      <c r="D4" s="899" t="n"/>
      <c r="E4" s="899" t="n"/>
      <c r="F4" s="899" t="n"/>
      <c r="G4" s="899" t="n"/>
      <c r="H4" s="899" t="n"/>
      <c r="I4" s="899" t="n"/>
      <c r="J4" s="899" t="n"/>
      <c r="K4" s="899" t="n"/>
      <c r="L4" s="899" t="n"/>
    </row>
    <row r="5" ht="21" customFormat="1" customHeight="1" s="55">
      <c r="A5" s="58" t="n"/>
      <c r="B5" s="58" t="n"/>
      <c r="D5" s="899" t="n"/>
      <c r="E5" s="899" t="n"/>
      <c r="F5" s="899" t="n"/>
      <c r="G5" s="899" t="n"/>
      <c r="H5" s="899" t="n"/>
      <c r="I5" s="899" t="n"/>
      <c r="J5" s="899" t="n"/>
      <c r="K5" s="899" t="n"/>
      <c r="L5" s="899" t="n"/>
    </row>
    <row r="6" ht="15.5" customFormat="1" customHeight="1" s="55">
      <c r="A6" s="726" t="n"/>
      <c r="B6" s="713" t="n"/>
      <c r="D6" s="899" t="n"/>
      <c r="E6" s="899" t="n"/>
      <c r="F6" s="899" t="n"/>
      <c r="G6" s="899" t="n"/>
      <c r="H6" s="899" t="n"/>
      <c r="I6" s="899" t="n"/>
      <c r="J6" s="899" t="n"/>
      <c r="K6" s="899" t="n"/>
      <c r="L6" s="899" t="n"/>
    </row>
    <row r="7" ht="13.5" customHeight="1" s="885">
      <c r="A7" s="59" t="n"/>
      <c r="B7" s="59" t="n"/>
      <c r="C7" s="59" t="n"/>
      <c r="D7" s="59" t="n"/>
      <c r="E7" s="59" t="n"/>
      <c r="F7" s="59" t="n"/>
      <c r="G7" s="59" t="n"/>
      <c r="H7" s="60" t="n"/>
      <c r="I7" s="60" t="n"/>
      <c r="J7" s="60" t="n"/>
      <c r="K7" s="60" t="n"/>
      <c r="L7" s="60" t="n"/>
    </row>
    <row r="8" ht="38.25" customFormat="1" customHeight="1" s="63">
      <c r="A8" s="727" t="inlineStr">
        <is>
          <t>Code DISPRU</t>
        </is>
      </c>
      <c r="B8" s="727" t="inlineStr">
        <is>
          <t>Liste des normes prudentielles</t>
        </is>
      </c>
      <c r="C8" s="900" t="n"/>
      <c r="D8" s="901" t="n"/>
      <c r="E8" s="727" t="inlineStr">
        <is>
          <t>Référence</t>
        </is>
      </c>
      <c r="F8" s="62" t="inlineStr">
        <is>
          <t>Niveau à respecter</t>
        </is>
      </c>
      <c r="G8" s="727" t="inlineStr">
        <is>
          <t>Niveau observé</t>
        </is>
      </c>
      <c r="H8" s="727" t="inlineStr">
        <is>
          <t>Situation de l'établissement</t>
        </is>
      </c>
    </row>
    <row r="9" ht="24.75" customFormat="1" customHeight="1" s="65">
      <c r="A9" s="64" t="n"/>
      <c r="B9" s="728" t="inlineStr">
        <is>
          <t>A. Normes de solvabilité</t>
        </is>
      </c>
      <c r="H9" s="902" t="n"/>
    </row>
    <row r="10" ht="36.75" customHeight="1" s="885">
      <c r="A10" s="745" t="inlineStr">
        <is>
          <t>RA001</t>
        </is>
      </c>
      <c r="B10" s="723" t="inlineStr">
        <is>
          <t>Ratio de fonds propres CET 1 (%)</t>
        </is>
      </c>
      <c r="C10" s="894" t="n"/>
      <c r="D10" s="895" t="n"/>
      <c r="E10" s="67" t="inlineStr">
        <is>
          <t>EP02</t>
        </is>
      </c>
      <c r="F10" s="903" t="n">
        <v>0.075</v>
      </c>
      <c r="G10" s="903">
        <f>'EP02'!F10</f>
        <v/>
      </c>
      <c r="H10" s="69">
        <f>IF($G10&gt;($F10),"CONFORME","INFRACTION")</f>
        <v/>
      </c>
    </row>
    <row r="11" ht="36.75" customHeight="1" s="885">
      <c r="A11" s="745" t="inlineStr">
        <is>
          <t>RA002</t>
        </is>
      </c>
      <c r="B11" s="723" t="inlineStr">
        <is>
          <t>Ratio de fonds propres de base T1 (%)</t>
        </is>
      </c>
      <c r="C11" s="894" t="n"/>
      <c r="D11" s="895" t="n"/>
      <c r="E11" s="67" t="inlineStr">
        <is>
          <t>EP02</t>
        </is>
      </c>
      <c r="F11" s="903" t="n">
        <v>0.08500000000000001</v>
      </c>
      <c r="G11" s="903">
        <f>'EP02'!F11</f>
        <v/>
      </c>
      <c r="H11" s="69">
        <f>IF($G11&gt;($F11),"CONFORME","INFRACTION")</f>
        <v/>
      </c>
    </row>
    <row r="12" ht="36.75" customHeight="1" s="885">
      <c r="A12" s="745" t="inlineStr">
        <is>
          <t>RA003</t>
        </is>
      </c>
      <c r="B12" s="723" t="inlineStr">
        <is>
          <t>Ratio de solvabilité total (%)</t>
        </is>
      </c>
      <c r="C12" s="894" t="n"/>
      <c r="D12" s="895" t="n"/>
      <c r="E12" s="67" t="inlineStr">
        <is>
          <t>EP02</t>
        </is>
      </c>
      <c r="F12" s="903" t="n">
        <v>0.115</v>
      </c>
      <c r="G12" s="903">
        <f>'EP02'!F12</f>
        <v/>
      </c>
      <c r="H12" s="69">
        <f>IF($G12&gt;($F12),"CONFORME","INFRACTION")</f>
        <v/>
      </c>
    </row>
    <row r="13" ht="24.75" customFormat="1" customHeight="1" s="65">
      <c r="A13" s="70" t="n"/>
      <c r="B13" s="724" t="inlineStr">
        <is>
          <t>B. Norme de division des risques</t>
        </is>
      </c>
      <c r="C13" s="904" t="n"/>
      <c r="D13" s="904" t="n"/>
      <c r="E13" s="904" t="n"/>
      <c r="F13" s="904" t="n"/>
      <c r="G13" s="904" t="n"/>
      <c r="H13" s="905" t="n"/>
    </row>
    <row r="14" ht="36.75" customHeight="1" s="885">
      <c r="A14" s="71" t="inlineStr">
        <is>
          <t>RA004</t>
        </is>
      </c>
      <c r="B14" s="723" t="inlineStr">
        <is>
          <t>Norme de division des risques</t>
        </is>
      </c>
      <c r="C14" s="894" t="n"/>
      <c r="D14" s="895" t="n"/>
      <c r="E14" s="67" t="inlineStr">
        <is>
          <t>EP29</t>
        </is>
      </c>
      <c r="F14" s="906" t="n">
        <v>0.25</v>
      </c>
      <c r="G14" s="903">
        <f>'EP29'!F72</f>
        <v/>
      </c>
      <c r="H14" s="69">
        <f>IF($G14&gt;($F14),"INFRACTION","CONFORME")</f>
        <v/>
      </c>
    </row>
    <row r="15" ht="24.75" customFormat="1" customHeight="1" s="65">
      <c r="A15" s="70" t="n"/>
      <c r="B15" s="724" t="inlineStr">
        <is>
          <t>C. Ratio de levier</t>
        </is>
      </c>
      <c r="C15" s="904" t="n"/>
      <c r="D15" s="904" t="n"/>
      <c r="E15" s="904" t="n"/>
      <c r="F15" s="904" t="n"/>
      <c r="G15" s="904" t="n"/>
      <c r="H15" s="905" t="n"/>
    </row>
    <row r="16" ht="36.75" customHeight="1" s="885">
      <c r="A16" s="71" t="inlineStr">
        <is>
          <t>RA005</t>
        </is>
      </c>
      <c r="B16" s="723" t="inlineStr">
        <is>
          <t>Ratio de levier</t>
        </is>
      </c>
      <c r="C16" s="894" t="n"/>
      <c r="D16" s="895" t="n"/>
      <c r="E16" s="67" t="inlineStr">
        <is>
          <t>EP33</t>
        </is>
      </c>
      <c r="F16" s="906" t="n">
        <v>0.03</v>
      </c>
      <c r="G16" s="903">
        <f>'EP33'!C35</f>
        <v/>
      </c>
      <c r="H16" s="69">
        <f>IF($G16&gt;($F16),"CONFORME","INFRACTION")</f>
        <v/>
      </c>
    </row>
    <row r="17" ht="24.75" customFormat="1" customHeight="1" s="65">
      <c r="A17" s="70" t="n"/>
      <c r="B17" s="724" t="inlineStr">
        <is>
          <t>D. Autres normes prudentielles</t>
        </is>
      </c>
      <c r="C17" s="904" t="n"/>
      <c r="D17" s="904" t="n"/>
      <c r="E17" s="904" t="n"/>
      <c r="F17" s="904" t="n"/>
      <c r="G17" s="904" t="n"/>
      <c r="H17" s="905" t="n"/>
    </row>
    <row r="18" ht="51.75" customHeight="1" s="885">
      <c r="A18" s="73" t="inlineStr">
        <is>
          <t>RA006</t>
        </is>
      </c>
      <c r="B18" s="722" t="inlineStr">
        <is>
          <t>Limite individuelle sur les participations dans les entités commerciales ( 25% capital de l'entreprise)</t>
        </is>
      </c>
      <c r="C18" s="894" t="n"/>
      <c r="D18" s="895" t="n"/>
      <c r="E18" s="67" t="inlineStr">
        <is>
          <t>EP35</t>
        </is>
      </c>
      <c r="F18" s="906" t="n">
        <v>0.25</v>
      </c>
      <c r="G18" s="906">
        <f>'EP35'!G13</f>
        <v/>
      </c>
      <c r="H18" s="69">
        <f>IF($G18&gt;($F18),"INFRACTION","CONFORME")</f>
        <v/>
      </c>
    </row>
    <row r="19" ht="51.75" customHeight="1" s="885">
      <c r="A19" s="73" t="inlineStr">
        <is>
          <t>RA007</t>
        </is>
      </c>
      <c r="B19" s="722" t="inlineStr">
        <is>
          <t>Limite individuelle sur les participations dans les entités commerciales (15% des fonds propres T1 de l'établissement)</t>
        </is>
      </c>
      <c r="C19" s="894" t="n"/>
      <c r="D19" s="895" t="n"/>
      <c r="E19" s="67" t="inlineStr">
        <is>
          <t>EP35</t>
        </is>
      </c>
      <c r="F19" s="906" t="n">
        <v>0.15</v>
      </c>
      <c r="G19" s="906">
        <f>'EP35'!H13</f>
        <v/>
      </c>
      <c r="H19" s="69">
        <f>IF($G19&gt;($F19),"INFRACTION","CONFORME")</f>
        <v/>
      </c>
    </row>
    <row r="20" ht="51.75" customHeight="1" s="885">
      <c r="A20" s="73" t="inlineStr">
        <is>
          <t>RA008</t>
        </is>
      </c>
      <c r="B20" s="722" t="inlineStr">
        <is>
          <t>Limite globale de participations dans les entités commerciales (60% des fonds propres effectifs de l'établissement)</t>
        </is>
      </c>
      <c r="C20" s="894" t="n"/>
      <c r="D20" s="895" t="n"/>
      <c r="E20" s="67" t="inlineStr">
        <is>
          <t>EP35</t>
        </is>
      </c>
      <c r="F20" s="906" t="n">
        <v>0.6</v>
      </c>
      <c r="G20" s="906">
        <f>'EP35'!I32</f>
        <v/>
      </c>
      <c r="H20" s="69">
        <f>IF($G20&gt;($F20),"INFRACTION","CONFORME")</f>
        <v/>
      </c>
    </row>
    <row r="21" ht="36.75" customHeight="1" s="885">
      <c r="A21" s="73" t="inlineStr">
        <is>
          <t>RA009</t>
        </is>
      </c>
      <c r="B21" s="722" t="inlineStr">
        <is>
          <t>Limite sur les immobilisations hors exploitation</t>
        </is>
      </c>
      <c r="C21" s="894" t="n"/>
      <c r="D21" s="895" t="n"/>
      <c r="E21" s="67" t="inlineStr">
        <is>
          <t>EP36</t>
        </is>
      </c>
      <c r="F21" s="906" t="n">
        <v>0.15</v>
      </c>
      <c r="G21" s="906">
        <f>'EP36'!E17</f>
        <v/>
      </c>
      <c r="H21" s="69">
        <f>IF($G21&gt;($F21),"INFRACTION","CONFORME")</f>
        <v/>
      </c>
    </row>
    <row r="22" ht="36.75" customHeight="1" s="885">
      <c r="A22" s="73" t="inlineStr">
        <is>
          <t>RA010</t>
        </is>
      </c>
      <c r="B22" s="722" t="inlineStr">
        <is>
          <t>Limite sur le total des immobilisations et des participations</t>
        </is>
      </c>
      <c r="C22" s="894" t="n"/>
      <c r="D22" s="895" t="n"/>
      <c r="E22" s="67" t="inlineStr">
        <is>
          <t>EP37</t>
        </is>
      </c>
      <c r="F22" s="906" t="n">
        <v>1</v>
      </c>
      <c r="G22" s="906">
        <f>'EP37'!E16</f>
        <v/>
      </c>
      <c r="H22" s="69">
        <f>IF($G22&gt;($F22),"INFRACTION","CONFORME")</f>
        <v/>
      </c>
    </row>
    <row r="23" ht="36.75" customHeight="1" s="885">
      <c r="A23" s="73" t="inlineStr">
        <is>
          <t>RA011</t>
        </is>
      </c>
      <c r="B23" s="722" t="inlineStr">
        <is>
          <t>Limite sur les prêts aux actionnaires , aux dirigeants et au personnel</t>
        </is>
      </c>
      <c r="C23" s="894" t="n"/>
      <c r="D23" s="895" t="n"/>
      <c r="E23" s="67" t="inlineStr">
        <is>
          <t>EP38</t>
        </is>
      </c>
      <c r="F23" s="906" t="n">
        <v>0.2</v>
      </c>
      <c r="G23" s="906">
        <f>'EP38'!L14</f>
        <v/>
      </c>
      <c r="H23" s="69">
        <f>IF($G23&gt;($F23),"INFRACTION","CONFORME")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09QQ73MPlX7/l8qjjEeMA==" formatRows="1" sort="1" spinCount="100000" hashValue="VEd0Fz+lTS/Bz6pa6e4YChVMFREL+pZ2cS+cD1VNlly5JW8auBvytCKExIn3pDzPPnmI6rLI4JygK/rlEV12Ew=="/>
  <mergeCells count="18">
    <mergeCell ref="B10:D10"/>
    <mergeCell ref="B11:D11"/>
    <mergeCell ref="B19:D19"/>
    <mergeCell ref="B14:D14"/>
    <mergeCell ref="A1:G1"/>
    <mergeCell ref="B9:H9"/>
    <mergeCell ref="B13:H13"/>
    <mergeCell ref="B23:D23"/>
    <mergeCell ref="B17:H17"/>
    <mergeCell ref="B22:D22"/>
    <mergeCell ref="B8:D8"/>
    <mergeCell ref="B18:D18"/>
    <mergeCell ref="B15:H15"/>
    <mergeCell ref="B21:D21"/>
    <mergeCell ref="B12:D12"/>
    <mergeCell ref="A6:B6"/>
    <mergeCell ref="B16:D16"/>
    <mergeCell ref="B20:D20"/>
  </mergeCells>
  <conditionalFormatting sqref="H10:H12 H14 H16 H18:H23">
    <cfRule type="cellIs" priority="2" operator="equal" dxfId="5">
      <formula>"INFRACTION"</formula>
    </cfRule>
    <cfRule type="cellIs" priority="3" operator="equal" dxfId="4">
      <formula>"CONFORME"</formula>
    </cfRule>
  </conditionalFormatting>
  <pageMargins left="0.708333333333333" right="0.708333333333333" top="0.747916666666667" bottom="0.747916666666667" header="0.511811023622047" footer="0.315277777777778"/>
  <pageSetup orientation="portrait" paperSize="9" scale="64" horizontalDpi="300" verticalDpi="300"/>
  <headerFooter>
    <oddHeader/>
    <oddFooter>&amp;R&amp;P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view="pageBreakPreview" zoomScale="80" zoomScaleNormal="70" zoomScaleSheetLayoutView="80" workbookViewId="0">
      <selection activeCell="B13" sqref="B13:G13"/>
    </sheetView>
  </sheetViews>
  <sheetFormatPr baseColWidth="10" defaultColWidth="10" defaultRowHeight="27.75" customHeight="1"/>
  <cols>
    <col collapsed="1" width="17.81640625" customWidth="1" style="74" min="1" max="1"/>
    <col collapsed="1" width="10" customWidth="1" style="74" min="2" max="3"/>
    <col collapsed="1" width="58" customWidth="1" style="74" min="4" max="4"/>
    <col collapsed="1" width="16.90625" customWidth="1" style="74" min="5" max="5"/>
    <col collapsed="1" width="25.26953125" customWidth="1" style="74" min="6" max="6"/>
    <col collapsed="1" width="9.7265625" customWidth="1" style="74" min="7" max="7"/>
    <col collapsed="1" width="10" customWidth="1" style="74" min="8" max="16384"/>
  </cols>
  <sheetData>
    <row r="1" ht="19.5" customHeight="1" s="885">
      <c r="A1" s="732" t="inlineStr">
        <is>
          <t>CALCUL DES RATIOS DE SOLVABILITE</t>
        </is>
      </c>
      <c r="G1" s="75" t="inlineStr">
        <is>
          <t>EP02</t>
        </is>
      </c>
      <c r="H1" s="907" t="n"/>
    </row>
    <row r="2" ht="31.5" customHeight="1" s="885"/>
    <row r="3" ht="15.5" customFormat="1" customHeight="1" s="77">
      <c r="C3" s="78" t="n"/>
      <c r="E3" s="908" t="n"/>
      <c r="F3" s="908" t="n"/>
      <c r="G3" s="908" t="n"/>
      <c r="H3" s="908" t="n"/>
      <c r="I3" s="908" t="n"/>
      <c r="J3" s="908" t="n"/>
      <c r="K3" s="908" t="n"/>
    </row>
    <row r="4" ht="12" customFormat="1" customHeight="1" s="77">
      <c r="A4" s="80" t="n"/>
      <c r="B4" s="80" t="n"/>
      <c r="D4" s="908" t="n"/>
      <c r="E4" s="908" t="n"/>
      <c r="F4" s="908" t="n"/>
      <c r="G4" s="908" t="n"/>
      <c r="H4" s="908" t="n"/>
      <c r="I4" s="908" t="n"/>
      <c r="J4" s="908" t="n"/>
      <c r="K4" s="908" t="n"/>
    </row>
    <row r="5" ht="21" customFormat="1" customHeight="1" s="77">
      <c r="A5" s="80" t="n"/>
      <c r="B5" s="80" t="n"/>
      <c r="D5" s="908" t="n"/>
      <c r="E5" s="908" t="n"/>
      <c r="F5" s="908" t="n"/>
      <c r="G5" s="908" t="n"/>
      <c r="H5" s="908" t="n"/>
      <c r="I5" s="908" t="n"/>
      <c r="J5" s="908" t="n"/>
      <c r="K5" s="908" t="n"/>
    </row>
    <row r="6" ht="15.5" customFormat="1" customHeight="1" s="77">
      <c r="A6" s="733" t="n"/>
      <c r="B6" s="713" t="n"/>
      <c r="D6" s="908" t="n"/>
      <c r="E6" s="908" t="n"/>
      <c r="F6" s="908" t="n"/>
      <c r="G6" s="908" t="n"/>
      <c r="H6" s="908" t="n"/>
      <c r="I6" s="908" t="n"/>
      <c r="J6" s="908" t="n"/>
      <c r="K6" s="908" t="n"/>
    </row>
    <row r="7" ht="13.5" customHeight="1" s="885">
      <c r="A7" s="81" t="n"/>
      <c r="B7" s="81" t="n"/>
      <c r="C7" s="81" t="n"/>
      <c r="D7" s="81" t="n"/>
      <c r="E7" s="81" t="n"/>
      <c r="F7" s="81" t="n"/>
      <c r="G7" s="82" t="n"/>
      <c r="H7" s="82" t="n"/>
      <c r="I7" s="82" t="n"/>
      <c r="J7" s="82" t="n"/>
      <c r="K7" s="82" t="n"/>
    </row>
    <row r="8" ht="27.75" customFormat="1" customHeight="1" s="86">
      <c r="A8" s="734" t="inlineStr">
        <is>
          <t>Code DISPRU</t>
        </is>
      </c>
      <c r="B8" s="734" t="inlineStr">
        <is>
          <t>Poste</t>
        </is>
      </c>
      <c r="C8" s="900" t="n"/>
      <c r="D8" s="901" t="n"/>
      <c r="E8" s="84" t="inlineStr">
        <is>
          <t>Référence</t>
        </is>
      </c>
      <c r="F8" s="734" t="inlineStr">
        <is>
          <t>Niveau /Montant estimé</t>
        </is>
      </c>
      <c r="G8" s="85" t="n"/>
    </row>
    <row r="9" ht="24.75" customFormat="1" customHeight="1" s="730">
      <c r="A9" s="87" t="n"/>
      <c r="B9" s="730" t="inlineStr">
        <is>
          <t>A. Normes de solvabilité</t>
        </is>
      </c>
    </row>
    <row r="10" ht="36.75" customHeight="1" s="885">
      <c r="A10" s="745" t="inlineStr">
        <is>
          <t>RA001</t>
        </is>
      </c>
      <c r="B10" s="729" t="inlineStr">
        <is>
          <t>Ratio de fonds propres CET 1 (%)</t>
        </is>
      </c>
      <c r="C10" s="894" t="n"/>
      <c r="D10" s="895" t="n"/>
      <c r="E10" s="89" t="inlineStr">
        <is>
          <t>a x 100 / d</t>
        </is>
      </c>
      <c r="F10" s="909">
        <f>F14/F18</f>
        <v/>
      </c>
    </row>
    <row r="11" ht="36.75" customHeight="1" s="885">
      <c r="A11" s="745" t="inlineStr">
        <is>
          <t>RA002</t>
        </is>
      </c>
      <c r="B11" s="729" t="inlineStr">
        <is>
          <t>Ratio de fonds propres de base T1 (%)</t>
        </is>
      </c>
      <c r="C11" s="894" t="n"/>
      <c r="D11" s="895" t="n"/>
      <c r="E11" s="89" t="inlineStr">
        <is>
          <t>b x 100 / d</t>
        </is>
      </c>
      <c r="F11" s="909">
        <f>F15/F18</f>
        <v/>
      </c>
    </row>
    <row r="12" ht="36.75" customHeight="1" s="885">
      <c r="A12" s="745" t="inlineStr">
        <is>
          <t>RA003</t>
        </is>
      </c>
      <c r="B12" s="729" t="inlineStr">
        <is>
          <t>Ratio de solvabilité total (%)</t>
        </is>
      </c>
      <c r="C12" s="894" t="n"/>
      <c r="D12" s="895" t="n"/>
      <c r="E12" s="89" t="inlineStr">
        <is>
          <t>cx 100 / d</t>
        </is>
      </c>
      <c r="F12" s="909">
        <f>F16/F18</f>
        <v/>
      </c>
    </row>
    <row r="13" ht="24.75" customFormat="1" customHeight="1" s="730">
      <c r="A13" s="87" t="n"/>
      <c r="B13" s="730" t="inlineStr">
        <is>
          <t>B. Fonds propres</t>
        </is>
      </c>
    </row>
    <row r="14" ht="36.75" customHeight="1" s="885">
      <c r="A14" s="91" t="inlineStr">
        <is>
          <t>FPI22 / FPC22</t>
        </is>
      </c>
      <c r="B14" s="729" t="inlineStr">
        <is>
          <t>Fonds propres de base durs (CET 1)</t>
        </is>
      </c>
      <c r="C14" s="894" t="n"/>
      <c r="D14" s="895" t="n"/>
      <c r="E14" s="92" t="inlineStr">
        <is>
          <t>EP03 / EP05</t>
        </is>
      </c>
      <c r="F14" s="93" t="n"/>
      <c r="G14" s="910" t="inlineStr">
        <is>
          <t>(a)</t>
        </is>
      </c>
    </row>
    <row r="15" ht="36.75" customHeight="1" s="885">
      <c r="A15" s="91" t="inlineStr">
        <is>
          <t>FPI29 / FPC29</t>
        </is>
      </c>
      <c r="B15" s="729" t="inlineStr">
        <is>
          <t>Fonds propres de base (T1)</t>
        </is>
      </c>
      <c r="C15" s="894" t="n"/>
      <c r="D15" s="895" t="n"/>
      <c r="E15" s="92" t="inlineStr">
        <is>
          <t>EP03 / EP05</t>
        </is>
      </c>
      <c r="F15" s="93" t="n"/>
      <c r="G15" s="911" t="inlineStr">
        <is>
          <t>(b)</t>
        </is>
      </c>
    </row>
    <row r="16" ht="36.75" customHeight="1" s="885">
      <c r="A16" s="91" t="inlineStr">
        <is>
          <t>FPI41 / FPC41</t>
        </is>
      </c>
      <c r="B16" s="729" t="inlineStr">
        <is>
          <t>Fonds propres effectifs (FPE)</t>
        </is>
      </c>
      <c r="C16" s="894" t="n"/>
      <c r="D16" s="895" t="n"/>
      <c r="E16" s="92" t="inlineStr">
        <is>
          <t>EP03 / EP05</t>
        </is>
      </c>
      <c r="F16" s="93" t="n"/>
      <c r="G16" s="96" t="inlineStr">
        <is>
          <t>(c)</t>
        </is>
      </c>
    </row>
    <row r="17" ht="24.75" customFormat="1" customHeight="1" s="730">
      <c r="A17" s="87" t="n"/>
      <c r="B17" s="730" t="inlineStr">
        <is>
          <t>C. Actifs pondérés des risques (APR)</t>
        </is>
      </c>
    </row>
    <row r="18" ht="36.75" customHeight="1" s="885">
      <c r="A18" s="91" t="inlineStr">
        <is>
          <t>APR04</t>
        </is>
      </c>
      <c r="B18" s="731" t="inlineStr">
        <is>
          <t>Actifs pondérés des risques de crédit, de marché et opérationel</t>
        </is>
      </c>
      <c r="C18" s="894" t="n"/>
      <c r="D18" s="895" t="n"/>
      <c r="E18" s="92" t="inlineStr">
        <is>
          <t>EP08</t>
        </is>
      </c>
      <c r="F18" s="93">
        <f>'EP08'!E34</f>
        <v/>
      </c>
      <c r="G18" s="96" t="inlineStr">
        <is>
          <t>(d)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QDRpkYTp7Lvej8oaRcJuw==" formatRows="1" sort="1" spinCount="100000" hashValue="rIpksytnknsMhBWyxDO73C5xK1FjC5R+Dgrv65QBVElplCtADTPpCq9jB53bsxStDvMrv1Jhluc81sMffF1y7A=="/>
  <mergeCells count="13">
    <mergeCell ref="B10:D10"/>
    <mergeCell ref="B11:D11"/>
    <mergeCell ref="B14:D14"/>
    <mergeCell ref="B8:D8"/>
    <mergeCell ref="A1:F1"/>
    <mergeCell ref="B9:G9"/>
    <mergeCell ref="B17:G17"/>
    <mergeCell ref="B18:D18"/>
    <mergeCell ref="B12:D12"/>
    <mergeCell ref="B13:G13"/>
    <mergeCell ref="B15:D15"/>
    <mergeCell ref="A6:B6"/>
    <mergeCell ref="B16:D16"/>
  </mergeCells>
  <pageMargins left="0.708333333333333" right="0.708333333333333" top="0.747916666666667" bottom="0.747916666666667" header="0.511811023622047" footer="0.315277777777778"/>
  <pageSetup orientation="portrait" paperSize="9" scale="52" horizontalDpi="300" verticalDpi="300"/>
  <headerFooter>
    <oddHeader/>
    <oddFooter>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view="pageBreakPreview" topLeftCell="A35" zoomScale="43" zoomScaleNormal="70" zoomScaleSheetLayoutView="70" workbookViewId="0">
      <selection activeCell="A16" sqref="A16"/>
    </sheetView>
  </sheetViews>
  <sheetFormatPr baseColWidth="10" defaultColWidth="10" defaultRowHeight="27.75" customHeight="1"/>
  <cols>
    <col collapsed="1" width="11.08984375" customWidth="1" style="97" min="1" max="1"/>
    <col collapsed="1" width="135.1796875" customWidth="1" style="98" min="2" max="2"/>
    <col collapsed="1" width="19.81640625" customWidth="1" style="782" min="3" max="3"/>
    <col collapsed="1" width="10" customWidth="1" style="782" min="4" max="16384"/>
  </cols>
  <sheetData>
    <row r="1" ht="29.25" customHeight="1" s="885">
      <c r="A1" s="735" t="inlineStr">
        <is>
          <t>CALCUL DES FONDS PROPRES SUR BASE INDIVIDUELLE</t>
        </is>
      </c>
      <c r="B1" s="886" t="n"/>
      <c r="C1" s="912" t="inlineStr">
        <is>
          <t>EP03</t>
        </is>
      </c>
    </row>
    <row r="2" ht="31.5" customHeight="1" s="885">
      <c r="B2" s="100" t="n"/>
      <c r="C2" s="893" t="n"/>
    </row>
    <row r="3" ht="17.5" customFormat="1" customHeight="1" s="103">
      <c r="A3" s="101" t="n"/>
      <c r="B3" s="102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05" t="n"/>
      <c r="B4" s="914" t="n"/>
    </row>
    <row r="5" ht="17.5" customFormat="1" customHeight="1" s="103">
      <c r="A5" s="105" t="n"/>
      <c r="B5" s="914" t="n"/>
    </row>
    <row r="6" ht="17.5" customFormat="1" customHeight="1" s="103">
      <c r="A6" s="101" t="n"/>
      <c r="B6" s="914" t="n"/>
    </row>
    <row r="7" ht="17.5" customHeight="1" s="885">
      <c r="A7" s="107" t="n"/>
      <c r="B7" s="915" t="n"/>
    </row>
    <row r="8" ht="18" customHeight="1" s="885">
      <c r="A8" s="109" t="n"/>
      <c r="B8" s="110" t="n"/>
      <c r="C8" s="111" t="n"/>
    </row>
    <row r="9" ht="36" customFormat="1" customHeight="1" s="114">
      <c r="A9" s="112" t="inlineStr">
        <is>
          <t>Code DISPRU</t>
        </is>
      </c>
      <c r="B9" s="766" t="inlineStr">
        <is>
          <t>Poste</t>
        </is>
      </c>
      <c r="C9" s="766" t="inlineStr">
        <is>
          <t>Montant</t>
        </is>
      </c>
    </row>
    <row r="10" ht="27.75" customHeight="1" s="885">
      <c r="A10" s="115" t="n"/>
      <c r="B10" s="42" t="inlineStr">
        <is>
          <t>A. Fonds propres de base durs (CET 1)</t>
        </is>
      </c>
      <c r="C10" s="116" t="n"/>
    </row>
    <row r="11" ht="36.75" customFormat="1" customHeight="1" s="119">
      <c r="A11" s="117" t="inlineStr">
        <is>
          <t>FPI01</t>
        </is>
      </c>
      <c r="B11" s="117" t="inlineStr">
        <is>
          <t>Capital social libéré</t>
        </is>
      </c>
      <c r="C11" s="118" t="n"/>
    </row>
    <row r="12" ht="36.75" customFormat="1" customHeight="1" s="119">
      <c r="A12" s="117" t="inlineStr">
        <is>
          <t>FPI02</t>
        </is>
      </c>
      <c r="B12" s="117" t="inlineStr">
        <is>
          <t>Primes liées  à l'émission des instruments  CET1</t>
        </is>
      </c>
      <c r="C12" s="118" t="n">
        <v>0</v>
      </c>
    </row>
    <row r="13" ht="36.75" customFormat="1" customHeight="1" s="119">
      <c r="A13" s="117" t="inlineStr">
        <is>
          <t>FPI03</t>
        </is>
      </c>
      <c r="B13" s="117" t="inlineStr">
        <is>
          <t>Réserve spéciale</t>
        </is>
      </c>
      <c r="C13" s="118" t="n"/>
    </row>
    <row r="14" ht="36.75" customFormat="1" customHeight="1" s="119">
      <c r="A14" s="117" t="inlineStr">
        <is>
          <t>FPI04</t>
        </is>
      </c>
      <c r="B14" s="117" t="inlineStr">
        <is>
          <t>Autres réserves</t>
        </is>
      </c>
      <c r="C14" s="118" t="n">
        <v>0</v>
      </c>
    </row>
    <row r="15" ht="36.75" customFormat="1" customHeight="1" s="119">
      <c r="A15" s="117" t="inlineStr">
        <is>
          <t>FPI05</t>
        </is>
      </c>
      <c r="B15" s="117" t="inlineStr">
        <is>
          <t>Report à nouveau créditeur</t>
        </is>
      </c>
      <c r="C15" s="118" t="n"/>
    </row>
    <row r="16" ht="36.75" customFormat="1" customHeight="1" s="119">
      <c r="A16" s="117" t="inlineStr">
        <is>
          <t>FPI06</t>
        </is>
      </c>
      <c r="B16" s="117" t="inlineStr">
        <is>
          <t>Résultat bénéficiaire</t>
        </is>
      </c>
      <c r="C16" s="118" t="n"/>
    </row>
    <row r="17" ht="36.75" customFormat="1" customHeight="1" s="119">
      <c r="A17" s="117" t="inlineStr">
        <is>
          <t>FPI07</t>
        </is>
      </c>
      <c r="B17" s="117" t="inlineStr">
        <is>
          <t>Eléments de CET1 non admissibles au 1er janvier 2018 et inclus dans le CET1 selon les dispositions transitoires</t>
        </is>
      </c>
      <c r="C17" s="118" t="n">
        <v>0</v>
      </c>
    </row>
    <row r="18" ht="36.75" customFormat="1" customHeight="1" s="119">
      <c r="A18" s="117" t="inlineStr">
        <is>
          <t>FPI08</t>
        </is>
      </c>
      <c r="B18" s="112" t="inlineStr">
        <is>
          <t>Total des fonds propres CET1 avant déductions applicables</t>
        </is>
      </c>
      <c r="C18" s="118">
        <f>C11+C12+C13+C14+C15+C16+C17</f>
        <v/>
      </c>
    </row>
    <row r="19" ht="36.75" customFormat="1" customHeight="1" s="119">
      <c r="A19" s="117" t="inlineStr">
        <is>
          <t>FPI09</t>
        </is>
      </c>
      <c r="B19" s="117" t="inlineStr">
        <is>
          <t>(-) Report à nouveau débiteur</t>
        </is>
      </c>
      <c r="C19" s="118" t="n">
        <v>0</v>
      </c>
    </row>
    <row r="20" ht="36.75" customFormat="1" customHeight="1" s="119">
      <c r="A20" s="117" t="inlineStr">
        <is>
          <t>FPI10</t>
        </is>
      </c>
      <c r="B20" s="117" t="inlineStr">
        <is>
          <t>(-) Résultat déficitaire</t>
        </is>
      </c>
      <c r="C20" s="118" t="n">
        <v>0</v>
      </c>
    </row>
    <row r="21" ht="36.75" customFormat="1" customHeight="1" s="119">
      <c r="A21" s="117" t="inlineStr">
        <is>
          <t>IM012</t>
        </is>
      </c>
      <c r="B21" s="117" t="inlineStr">
        <is>
          <t>(-) Immobilisations incorporelles (nettes d'impôts différés passif)</t>
        </is>
      </c>
      <c r="C21" s="118" t="n"/>
    </row>
    <row r="22" ht="36.75" customFormat="1" customHeight="1" s="119">
      <c r="A22" s="117" t="inlineStr">
        <is>
          <t>ID009</t>
        </is>
      </c>
      <c r="B22" s="117" t="inlineStr">
        <is>
          <t>(-) Impôt différé actif dépendant de la rentabilité future de l’établissement et ne résultant pas de différences temporaires (net d'impôts différés passif)</t>
        </is>
      </c>
      <c r="C22" s="118" t="n">
        <v>0</v>
      </c>
    </row>
    <row r="23" ht="36.75" customFormat="1" customHeight="1" s="119">
      <c r="A23" s="117" t="inlineStr">
        <is>
          <t>PA156</t>
        </is>
      </c>
      <c r="B23" s="117" t="inlineStr">
        <is>
          <t>(-) Participations croisées éligibles au CET1 dans les établissements, les entreprises d'assurance et les autres entités financières</t>
        </is>
      </c>
      <c r="C23" s="118" t="n">
        <v>0</v>
      </c>
    </row>
    <row r="24" ht="36.75" customFormat="1" customHeight="1" s="119">
      <c r="A24" s="117" t="inlineStr">
        <is>
          <t>PA173</t>
        </is>
      </c>
      <c r="B24" s="117" t="inlineStr">
        <is>
          <t>(-) Participations significatives éligibles au CET1 et qui ne sont pas des actions ordinaires</t>
        </is>
      </c>
      <c r="C24" s="118" t="n">
        <v>0</v>
      </c>
    </row>
    <row r="25" ht="36.75" customFormat="1" customHeight="1" s="119">
      <c r="A25" s="117" t="inlineStr">
        <is>
          <t>FPI11</t>
        </is>
      </c>
      <c r="B25" s="117" t="inlineStr">
        <is>
          <t>(-) Réserves de valorisation pour positions moins liquides</t>
        </is>
      </c>
      <c r="C25" s="118" t="n">
        <v>0</v>
      </c>
    </row>
    <row r="26" ht="36.75" customFormat="1" customHeight="1" s="119">
      <c r="A26" s="117" t="inlineStr">
        <is>
          <t>PA149</t>
        </is>
      </c>
      <c r="B26" s="117" t="inlineStr">
        <is>
          <t>(-) Excédent de la limite de participations dans des entités commerciales</t>
        </is>
      </c>
      <c r="C26" s="118" t="n">
        <v>0</v>
      </c>
    </row>
    <row r="27" ht="36.75" customFormat="1" customHeight="1" s="119">
      <c r="A27" s="117" t="inlineStr">
        <is>
          <t>IM006</t>
        </is>
      </c>
      <c r="B27" s="117" t="inlineStr">
        <is>
          <t>(-) Excédent de la limite applicable aux immobilisations hors exploitation</t>
        </is>
      </c>
      <c r="C27" s="118" t="n">
        <v>0</v>
      </c>
    </row>
    <row r="28" ht="36.75" customFormat="1" customHeight="1" s="119">
      <c r="A28" s="117" t="inlineStr">
        <is>
          <t>IM010</t>
        </is>
      </c>
      <c r="B28" s="117" t="inlineStr">
        <is>
          <t xml:space="preserve">(-) Excédent de la limite applicable au total des immobilisations et participations </t>
        </is>
      </c>
      <c r="C28" s="118" t="n">
        <v>0</v>
      </c>
    </row>
    <row r="29" ht="36.75" customFormat="1" customHeight="1" s="119">
      <c r="A29" s="117" t="inlineStr">
        <is>
          <t>PR004</t>
        </is>
      </c>
      <c r="B29" s="117" t="inlineStr">
        <is>
          <t>(-) Excédent de la  limite applicable aux prêts aux actionnaires, aux dirigeants et au personnel</t>
        </is>
      </c>
      <c r="C29" s="118" t="n">
        <v>0</v>
      </c>
    </row>
    <row r="30" ht="36.75" customFormat="1" customHeight="1" s="119">
      <c r="A30" s="117" t="inlineStr">
        <is>
          <t>FPI12</t>
        </is>
      </c>
      <c r="B30" s="119" t="inlineStr">
        <is>
          <t>(-) Expositions sur les établissements qui disposent de fonds propres négatifs</t>
        </is>
      </c>
      <c r="C30" s="118" t="n">
        <v>0</v>
      </c>
    </row>
    <row r="31" ht="36.75" customFormat="1" customHeight="1" s="119">
      <c r="A31" s="117" t="inlineStr">
        <is>
          <t>FPI13</t>
        </is>
      </c>
      <c r="B31" s="117" t="inlineStr">
        <is>
          <t xml:space="preserve">(-) Ajustements réglementaires à appliquer au CET1 en raison de l'insuffisance des fonds propres de base additionnels (AT1) pour couvrir les déductions </t>
        </is>
      </c>
      <c r="C31" s="118" t="n">
        <v>0</v>
      </c>
    </row>
    <row r="32" ht="36.75" customFormat="1" customHeight="1" s="120">
      <c r="A32" s="117" t="inlineStr">
        <is>
          <t>FPI14</t>
        </is>
      </c>
      <c r="B32" s="112" t="inlineStr">
        <is>
          <t>Total des fonds propres CET1 ajustés avant déductions liées à des seuils</t>
        </is>
      </c>
      <c r="C32" s="118">
        <f>C18+C21</f>
        <v/>
      </c>
    </row>
    <row r="33" ht="36.75" customFormat="1" customHeight="1" s="119">
      <c r="A33" s="117" t="inlineStr">
        <is>
          <t>PA163</t>
        </is>
      </c>
      <c r="B33" s="117" t="inlineStr">
        <is>
          <t>(-) Participations non significatives éligibles au CET1 dans les établissements, les entreprises d'assurance et les autres entités financières</t>
        </is>
      </c>
      <c r="C33" s="118" t="n">
        <v>0</v>
      </c>
    </row>
    <row r="34" ht="36.75" customFormat="1" customHeight="1" s="120">
      <c r="A34" s="117" t="inlineStr">
        <is>
          <t>FPI15</t>
        </is>
      </c>
      <c r="B34" s="112" t="inlineStr">
        <is>
          <t>Total des fonds propres CET1 ajustés des déductions liées aux participations non significatives</t>
        </is>
      </c>
      <c r="C34" s="118">
        <f>C32</f>
        <v/>
      </c>
    </row>
    <row r="35" ht="36.75" customFormat="1" customHeight="1" s="119">
      <c r="A35" s="117" t="inlineStr">
        <is>
          <t>PA172</t>
        </is>
      </c>
      <c r="B35" s="117" t="inlineStr">
        <is>
          <t>(-) Participations significatives éligibles au CET1 dans les établissements, les entreprises d'assurance et les autres entités financières</t>
        </is>
      </c>
      <c r="C35" s="118" t="n">
        <v>0</v>
      </c>
    </row>
    <row r="36" ht="36.75" customFormat="1" customHeight="1" s="119">
      <c r="A36" s="117" t="inlineStr">
        <is>
          <t>ID011</t>
        </is>
      </c>
      <c r="B36" s="117" t="inlineStr">
        <is>
          <t>(-) Impôts différés actifs résultant de différences temporaires (nets de passifs d'impôt associés)</t>
        </is>
      </c>
      <c r="C36" s="118" t="n">
        <v>0</v>
      </c>
    </row>
    <row r="37" ht="36.75" customFormat="1" customHeight="1" s="119">
      <c r="A37" s="117" t="inlineStr">
        <is>
          <t>FPI16</t>
        </is>
      </c>
      <c r="B37" s="112" t="inlineStr">
        <is>
          <t>Total des fonds propres CET1 ajustés des déductions individuelles liées aux participations significatives et aux impôts différés actifs résultant de différences temporaires</t>
        </is>
      </c>
      <c r="C37" s="118">
        <f>C34</f>
        <v/>
      </c>
    </row>
    <row r="38" ht="36.75" customFormat="1" customHeight="1" s="119">
      <c r="A38" s="117" t="inlineStr">
        <is>
          <t>FPI20</t>
        </is>
      </c>
      <c r="B38" s="117" t="inlineStr">
        <is>
          <t>(-) Montant dépassant le seuil de 15% du CET1</t>
        </is>
      </c>
      <c r="C38" s="118" t="n">
        <v>0</v>
      </c>
    </row>
    <row r="39" ht="36.75" customFormat="1" customHeight="1" s="119">
      <c r="A39" s="117" t="inlineStr">
        <is>
          <t>FPI21</t>
        </is>
      </c>
      <c r="B39" s="117" t="inlineStr">
        <is>
          <t>(-) Autres déductions applicables au CET1</t>
        </is>
      </c>
      <c r="C39" s="118" t="n">
        <v>0</v>
      </c>
    </row>
    <row r="40" ht="36.75" customFormat="1" customHeight="1" s="120">
      <c r="A40" s="117" t="inlineStr">
        <is>
          <t>FPI22</t>
        </is>
      </c>
      <c r="B40" s="112" t="inlineStr">
        <is>
          <t>TOTAL DES FONDS PROPRES CET1</t>
        </is>
      </c>
      <c r="C40" s="118">
        <f>C37</f>
        <v/>
      </c>
    </row>
    <row r="41" ht="36.75" customHeight="1" s="885">
      <c r="A41" s="121" t="n"/>
      <c r="B41" s="122" t="inlineStr">
        <is>
          <t>B. Fonds propres de base additionnels (AT1)</t>
        </is>
      </c>
      <c r="C41" s="123" t="n"/>
    </row>
    <row r="42" ht="36.75" customHeight="1" s="885">
      <c r="A42" s="117" t="inlineStr">
        <is>
          <t>FPI23</t>
        </is>
      </c>
      <c r="B42" s="869" t="inlineStr">
        <is>
          <t>Instruments de capital libérés</t>
        </is>
      </c>
      <c r="C42" s="118" t="n">
        <v>0</v>
      </c>
    </row>
    <row r="43" ht="36.75" customHeight="1" s="885">
      <c r="A43" s="117" t="inlineStr">
        <is>
          <t>FPI24</t>
        </is>
      </c>
      <c r="B43" s="869" t="inlineStr">
        <is>
          <t>Primes liées à l'émission des instruments AT1</t>
        </is>
      </c>
      <c r="C43" s="118" t="n">
        <v>0</v>
      </c>
    </row>
    <row r="44" ht="46.5" customHeight="1" s="885">
      <c r="A44" s="117" t="inlineStr">
        <is>
          <t>FPI25</t>
        </is>
      </c>
      <c r="B44" s="916" t="inlineStr">
        <is>
          <t>Instruments de CET1 non admissibles au 1er janvier 2018 et éligibles dans les fonds propres fonds propres de base additionnels (AT1)</t>
        </is>
      </c>
      <c r="C44" s="118" t="n">
        <v>0</v>
      </c>
    </row>
    <row r="45" ht="36.75" customFormat="1" customHeight="1" s="42">
      <c r="A45" s="117" t="inlineStr">
        <is>
          <t>FPI26</t>
        </is>
      </c>
      <c r="B45" s="126" t="inlineStr">
        <is>
          <t>Total des fonds propres AT1 avant déductions applicables</t>
        </is>
      </c>
      <c r="C45" s="118" t="n">
        <v>0</v>
      </c>
    </row>
    <row r="46" ht="36.75" customFormat="1" customHeight="1" s="50">
      <c r="A46" s="117" t="inlineStr">
        <is>
          <t>PA157</t>
        </is>
      </c>
      <c r="B46" s="51" t="inlineStr">
        <is>
          <t>(-) Participations croisées éligibles au AT1 dans les établissements, les entreprises d'assurance et les autres entités financières</t>
        </is>
      </c>
      <c r="C46" s="118" t="n">
        <v>0</v>
      </c>
    </row>
    <row r="47" ht="36.75" customFormat="1" customHeight="1" s="50">
      <c r="A47" s="117" t="inlineStr">
        <is>
          <t>PA164</t>
        </is>
      </c>
      <c r="B47" s="51" t="inlineStr">
        <is>
          <t>(-) Participations non significatives éligibles au AT1 dans les établissements, les entreprises d'assurance et les autres entités financières</t>
        </is>
      </c>
      <c r="C47" s="118" t="n">
        <v>0</v>
      </c>
    </row>
    <row r="48" ht="36.75" customFormat="1" customHeight="1" s="50">
      <c r="A48" s="117" t="inlineStr">
        <is>
          <t>PA174</t>
        </is>
      </c>
      <c r="B48" s="51" t="inlineStr">
        <is>
          <t>(-) Participations significatives éligibles au AT1 dans les établissements, les entreprises d'assurance et les autres entités financières</t>
        </is>
      </c>
      <c r="C48" s="118" t="n">
        <v>0</v>
      </c>
    </row>
    <row r="49" ht="36.75" customFormat="1" customHeight="1" s="50">
      <c r="A49" s="117" t="inlineStr">
        <is>
          <t>FPI27</t>
        </is>
      </c>
      <c r="B49" s="117" t="inlineStr">
        <is>
          <t xml:space="preserve">(-) Ajustements réglementaires à appliquer au fonds propres AT1 en raison de l'insuffisance des fonds propres complémentaires (T2) pour couvrir les déductions </t>
        </is>
      </c>
      <c r="C49" s="118" t="n">
        <v>0</v>
      </c>
    </row>
    <row r="50" ht="36.75" customFormat="1" customHeight="1" s="42">
      <c r="A50" s="117" t="inlineStr">
        <is>
          <t>FPI28</t>
        </is>
      </c>
      <c r="B50" s="126" t="inlineStr">
        <is>
          <t xml:space="preserve">Total des fonds propres AT1  </t>
        </is>
      </c>
      <c r="C50" s="118" t="n">
        <v>0</v>
      </c>
    </row>
    <row r="51" ht="36.75" customHeight="1" s="885">
      <c r="A51" s="121" t="n"/>
      <c r="B51" s="122" t="inlineStr">
        <is>
          <t>C. Fonds Propres de Base (T1)</t>
        </is>
      </c>
      <c r="C51" s="123" t="n"/>
    </row>
    <row r="52" ht="36.75" customFormat="1" customHeight="1" s="42">
      <c r="A52" s="112" t="inlineStr">
        <is>
          <t>FPI29</t>
        </is>
      </c>
      <c r="B52" s="126" t="inlineStr">
        <is>
          <t>TOTAL DES FONDS PROPRES DE BASE T1</t>
        </is>
      </c>
      <c r="C52" s="127">
        <f>C40</f>
        <v/>
      </c>
    </row>
    <row r="53" ht="36.75" customHeight="1" s="885">
      <c r="A53" s="121" t="n"/>
      <c r="B53" s="122" t="inlineStr">
        <is>
          <t>D. Fonds Propres Complémentaires (T2)</t>
        </is>
      </c>
      <c r="C53" s="123" t="n"/>
    </row>
    <row r="54" ht="36.75" customHeight="1" s="885">
      <c r="A54" s="117" t="inlineStr">
        <is>
          <t>FPI30</t>
        </is>
      </c>
      <c r="B54" s="869" t="inlineStr">
        <is>
          <t>Emprunts subordonnés</t>
        </is>
      </c>
      <c r="C54" s="118" t="n">
        <v>0</v>
      </c>
    </row>
    <row r="55" ht="36.75" customHeight="1" s="885">
      <c r="A55" s="117" t="inlineStr">
        <is>
          <t>FPI31</t>
        </is>
      </c>
      <c r="B55" s="869" t="inlineStr">
        <is>
          <t xml:space="preserve">Autres instruments de capital libérés </t>
        </is>
      </c>
      <c r="C55" s="118" t="n">
        <v>0</v>
      </c>
    </row>
    <row r="56" ht="36.75" customHeight="1" s="885">
      <c r="A56" s="117" t="inlineStr">
        <is>
          <t>FPI32</t>
        </is>
      </c>
      <c r="B56" s="869" t="inlineStr">
        <is>
          <t>Primes liées à l'émission des instruments T2</t>
        </is>
      </c>
      <c r="C56" s="118" t="n">
        <v>0</v>
      </c>
    </row>
    <row r="57" ht="36.75" customHeight="1" s="885">
      <c r="A57" s="117" t="inlineStr">
        <is>
          <t>FPI33</t>
        </is>
      </c>
      <c r="B57" s="916" t="inlineStr">
        <is>
          <t>Autres instruments de CET1 non admissibles au 1er janvier 2018 et éligibles dans les fonds propres complémentaires (T2)</t>
        </is>
      </c>
      <c r="C57" s="118" t="n">
        <v>0</v>
      </c>
    </row>
    <row r="58" ht="36.75" customHeight="1" s="885">
      <c r="A58" s="117" t="inlineStr">
        <is>
          <t>FPI34</t>
        </is>
      </c>
      <c r="B58" s="916" t="inlineStr">
        <is>
          <t>Eléments de fonds propres complémentaires (T2) non admissibles au 1er janvier 2018 et inclus dans les fonds propres</t>
        </is>
      </c>
      <c r="C58" s="118" t="n">
        <v>0</v>
      </c>
    </row>
    <row r="59" ht="36.75" customHeight="1" s="885">
      <c r="A59" s="117" t="inlineStr">
        <is>
          <t>FPI35</t>
        </is>
      </c>
      <c r="B59" s="869" t="inlineStr">
        <is>
          <t>Provisions réglementées</t>
        </is>
      </c>
      <c r="C59" s="118" t="n">
        <v>0</v>
      </c>
    </row>
    <row r="60" ht="36.75" customHeight="1" s="885">
      <c r="A60" s="117" t="inlineStr">
        <is>
          <t>FPI36</t>
        </is>
      </c>
      <c r="B60" s="869" t="inlineStr">
        <is>
          <t>Fonds affectés</t>
        </is>
      </c>
      <c r="C60" s="118" t="n">
        <v>0</v>
      </c>
    </row>
    <row r="61" ht="36.75" customHeight="1" s="885">
      <c r="A61" s="117" t="inlineStr">
        <is>
          <t>FPI37</t>
        </is>
      </c>
      <c r="B61" s="869" t="inlineStr">
        <is>
          <t>Subventions d’investissement</t>
        </is>
      </c>
      <c r="C61" s="118" t="n">
        <v>0</v>
      </c>
    </row>
    <row r="62" ht="36.75" customHeight="1" s="885">
      <c r="A62" s="117" t="inlineStr">
        <is>
          <t>FPI38</t>
        </is>
      </c>
      <c r="B62" s="869" t="inlineStr">
        <is>
          <t>Comptes bloqués d'actionnaires ou d'associés</t>
        </is>
      </c>
      <c r="C62" s="118" t="n">
        <v>0</v>
      </c>
    </row>
    <row r="63" ht="36.75" customFormat="1" customHeight="1" s="42">
      <c r="A63" s="117" t="inlineStr">
        <is>
          <t>FPI39</t>
        </is>
      </c>
      <c r="B63" s="126" t="inlineStr">
        <is>
          <t>Total des fonds propres T2 avant déductions applicables</t>
        </is>
      </c>
      <c r="C63" s="118" t="n">
        <v>0</v>
      </c>
    </row>
    <row r="64" ht="36.75" customHeight="1" s="885">
      <c r="A64" s="117" t="inlineStr">
        <is>
          <t>PA158</t>
        </is>
      </c>
      <c r="B64" s="869" t="inlineStr">
        <is>
          <t>(-) Participations croisées éligibles au T2 dans les établissements, les entreprises d'assurance et les autres entités financières</t>
        </is>
      </c>
      <c r="C64" s="118" t="n">
        <v>0</v>
      </c>
    </row>
    <row r="65" ht="36.75" customFormat="1" customHeight="1" s="50">
      <c r="A65" s="117" t="inlineStr">
        <is>
          <t>PA165</t>
        </is>
      </c>
      <c r="B65" s="51" t="inlineStr">
        <is>
          <t>(-) Participations non significatives éligibles au T2 dans les établissements, les entreprises d'assurance et les autres entités financières</t>
        </is>
      </c>
      <c r="C65" s="118" t="n">
        <v>0</v>
      </c>
    </row>
    <row r="66" ht="36.75" customHeight="1" s="885">
      <c r="A66" s="117" t="inlineStr">
        <is>
          <t>PA175</t>
        </is>
      </c>
      <c r="B66" s="51" t="inlineStr">
        <is>
          <t>(-) Participations significatives éligibles au T2  dans les établissements, les entreprises d'assurance et les autres entités financières</t>
        </is>
      </c>
      <c r="C66" s="118" t="n">
        <v>0</v>
      </c>
    </row>
    <row r="67" ht="36.75" customFormat="1" customHeight="1" s="42">
      <c r="A67" s="117" t="inlineStr">
        <is>
          <t>FPI40</t>
        </is>
      </c>
      <c r="B67" s="126" t="inlineStr">
        <is>
          <t xml:space="preserve">Total des fonds propres T2   </t>
        </is>
      </c>
      <c r="C67" s="118" t="n">
        <v>0</v>
      </c>
    </row>
    <row r="68" ht="36.75" customFormat="1" customHeight="1" s="42">
      <c r="A68" s="121" t="n"/>
      <c r="B68" s="122" t="inlineStr">
        <is>
          <t>E. Fonds Propres effectifs (FPE)</t>
        </is>
      </c>
      <c r="C68" s="128" t="n"/>
    </row>
    <row r="69" ht="36.75" customFormat="1" customHeight="1" s="42">
      <c r="A69" s="117" t="inlineStr">
        <is>
          <t>FPI41</t>
        </is>
      </c>
      <c r="B69" s="126" t="inlineStr">
        <is>
          <t>FONDS PROPRES EFFECTIFS</t>
        </is>
      </c>
      <c r="C69" s="118">
        <f>C52</f>
        <v/>
      </c>
    </row>
    <row r="70" ht="27.75" customHeight="1" s="885">
      <c r="B70" s="78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DK/l7lzOsqJkFPRF4MFpA==" formatRows="1" sort="1" spinCount="100000" hashValue="6NiZyHoD9v0/SUA1W9nY/gDkcyGRaADi039wZpOrmsP8/EJn2RzKWJCOf3KoN29h7Rwfy/J9O0d5jq81iQEwnQ=="/>
  <mergeCells count="1">
    <mergeCell ref="A1:B1"/>
  </mergeCells>
  <pageMargins left="0.708333333333333" right="0.708333333333333" top="0.747916666666667" bottom="0.747916666666667" header="0.511811023622047" footer="0.315277777777778"/>
  <pageSetup orientation="portrait" paperSize="9" scale="46" horizontalDpi="300" verticalDpi="300"/>
  <headerFooter>
    <oddHeader/>
    <oddFooter>&amp;R&amp;P</oddFooter>
    <evenHeader/>
    <evenFooter/>
    <firstHeader/>
    <firstFooter/>
  </headerFooter>
  <rowBreaks count="2" manualBreakCount="2">
    <brk id="40" min="0" max="16383" man="1"/>
    <brk id="6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9"/>
  <sheetViews>
    <sheetView view="pageBreakPreview" topLeftCell="A3" zoomScale="70" zoomScaleNormal="70" zoomScaleSheetLayoutView="70" workbookViewId="0">
      <selection activeCell="C69" sqref="C69"/>
    </sheetView>
  </sheetViews>
  <sheetFormatPr baseColWidth="10" defaultColWidth="10" defaultRowHeight="17.25" customHeight="1"/>
  <cols>
    <col collapsed="1" width="9.7265625" customWidth="1" style="782" min="1" max="1"/>
    <col collapsed="1" width="84.6328125" customWidth="1" style="782" min="2" max="2"/>
    <col collapsed="1" width="19.08984375" customWidth="1" style="40" min="3" max="3"/>
    <col collapsed="1" width="25.6328125" customWidth="1" style="40" min="4" max="4"/>
    <col collapsed="1" width="10" customWidth="1" style="782" min="5" max="16384"/>
  </cols>
  <sheetData>
    <row r="1" ht="29.25" customHeight="1" s="885">
      <c r="A1" s="735" t="inlineStr">
        <is>
          <t>CALCUL DES FONDS PROPRES SUR BASE INDIVIDUELLE</t>
        </is>
      </c>
      <c r="B1" s="886" t="n"/>
      <c r="C1" s="886" t="n"/>
      <c r="D1" s="912" t="inlineStr">
        <is>
          <t>EP03</t>
        </is>
      </c>
    </row>
    <row r="2" ht="18" customHeight="1" s="885">
      <c r="A2" s="97" t="n"/>
      <c r="B2" s="44" t="n"/>
      <c r="C2" s="893" t="n"/>
    </row>
    <row r="3" ht="17.5" customFormat="1" customHeight="1" s="103">
      <c r="A3" s="129" t="n"/>
      <c r="B3" s="130" t="n"/>
      <c r="D3" s="131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  <c r="D4" s="131" t="n"/>
    </row>
    <row r="5" ht="17.5" customFormat="1" customHeight="1" s="103">
      <c r="A5" s="132" t="n"/>
      <c r="B5" s="917" t="n"/>
      <c r="D5" s="131" t="n"/>
    </row>
    <row r="6" ht="17.5" customFormat="1" customHeight="1" s="103">
      <c r="A6" s="129" t="n"/>
      <c r="B6" s="917" t="n"/>
      <c r="D6" s="131" t="n"/>
    </row>
    <row r="7" ht="17.5" customHeight="1" s="885">
      <c r="A7" s="97" t="n"/>
      <c r="B7" s="918" t="n"/>
      <c r="C7" s="782" t="n"/>
    </row>
    <row r="8" ht="18" customHeight="1" s="885">
      <c r="A8" s="97" t="n"/>
      <c r="B8" s="135" t="n"/>
      <c r="C8" s="135" t="n"/>
    </row>
    <row r="9" ht="27.75" customHeight="1" s="885">
      <c r="A9" s="736" t="inlineStr">
        <is>
          <t>Poste mémoire - Déductions applicables aux fonds propres sur base individuelle</t>
        </is>
      </c>
      <c r="B9" s="886" t="n"/>
      <c r="C9" s="886" t="n"/>
    </row>
    <row r="10" ht="27.75" customHeight="1" s="885">
      <c r="A10" s="736" t="n"/>
      <c r="B10" s="137" t="n"/>
      <c r="C10" s="736" t="n"/>
    </row>
    <row r="11" ht="54" customFormat="1" customHeight="1" s="40">
      <c r="A11" s="833" t="inlineStr">
        <is>
          <t>Code DISPRU</t>
        </is>
      </c>
      <c r="B11" s="775" t="inlineStr">
        <is>
          <t>Poste</t>
        </is>
      </c>
      <c r="C11" s="832" t="inlineStr">
        <is>
          <t>Montant</t>
        </is>
      </c>
      <c r="D11" s="832" t="inlineStr">
        <is>
          <t>Formules de calcul</t>
        </is>
      </c>
    </row>
    <row r="12" ht="27.75" customHeight="1" s="885">
      <c r="A12" s="141" t="n"/>
      <c r="B12" s="142" t="inlineStr">
        <is>
          <t xml:space="preserve">A. Immobilisations incorporelles </t>
        </is>
      </c>
      <c r="C12" s="143" t="n"/>
      <c r="D12" s="144" t="n"/>
    </row>
    <row r="13" ht="22.5" customHeight="1" s="885">
      <c r="A13" s="145" t="inlineStr">
        <is>
          <t>IM011</t>
        </is>
      </c>
      <c r="B13" s="869" t="inlineStr">
        <is>
          <t xml:space="preserve">Immobilisations incorporelles </t>
        </is>
      </c>
      <c r="C13" s="146" t="n"/>
      <c r="D13" s="919" t="inlineStr">
        <is>
          <t>(a)</t>
        </is>
      </c>
    </row>
    <row r="14" ht="22.5" customHeight="1" s="885">
      <c r="A14" s="145" t="inlineStr">
        <is>
          <t>ID001</t>
        </is>
      </c>
      <c r="B14" s="869" t="inlineStr">
        <is>
          <t xml:space="preserve">(-) Impôts différés passif associés </t>
        </is>
      </c>
      <c r="C14" s="146" t="n">
        <v>0</v>
      </c>
      <c r="D14" s="920" t="inlineStr">
        <is>
          <t>(b)</t>
        </is>
      </c>
    </row>
    <row r="15" ht="22.5" customFormat="1" customHeight="1" s="42">
      <c r="A15" s="149" t="inlineStr">
        <is>
          <t>IM012</t>
        </is>
      </c>
      <c r="B15" s="150" t="inlineStr">
        <is>
          <t>Immobilisations incorporelles (nettes d'impôts différés passif)</t>
        </is>
      </c>
      <c r="C15" s="151" t="n"/>
      <c r="D15" s="152" t="inlineStr">
        <is>
          <t>(c)=a+b</t>
        </is>
      </c>
    </row>
    <row r="16" ht="27.75" customHeight="1" s="885">
      <c r="A16" s="141" t="n"/>
      <c r="B16" s="142" t="inlineStr">
        <is>
          <t>B. Impôts différés actifs</t>
        </is>
      </c>
      <c r="C16" s="143" t="n"/>
      <c r="D16" s="144" t="n"/>
    </row>
    <row r="17" ht="36" customHeight="1" s="885">
      <c r="A17" s="141" t="n"/>
      <c r="B17" s="153" t="inlineStr">
        <is>
          <t>B.1. Impôt différé actif ne dépendant pas de la rentabilité future de l’établissement</t>
        </is>
      </c>
      <c r="C17" s="143" t="n"/>
      <c r="D17" s="144" t="n"/>
    </row>
    <row r="18" ht="54.75" customHeight="1" s="885">
      <c r="A18" s="154" t="inlineStr">
        <is>
          <t>ID003</t>
        </is>
      </c>
      <c r="B18" s="155" t="inlineStr">
        <is>
          <t>Total impôt différé actif qui ne dépend pas de la rentabilité future de l'établissement (montant brut)</t>
        </is>
      </c>
      <c r="C18" s="156" t="n">
        <v>0</v>
      </c>
      <c r="D18" s="919" t="inlineStr">
        <is>
          <t>(a)</t>
        </is>
      </c>
    </row>
    <row r="19" ht="22.5" customHeight="1" s="885">
      <c r="A19" s="145" t="inlineStr">
        <is>
          <t>ID004</t>
        </is>
      </c>
      <c r="B19" s="869" t="inlineStr">
        <is>
          <t xml:space="preserve">(-) Impôts différés passif associés </t>
        </is>
      </c>
      <c r="C19" s="146" t="n">
        <v>0</v>
      </c>
      <c r="D19" s="920" t="inlineStr">
        <is>
          <t>(b)</t>
        </is>
      </c>
    </row>
    <row r="20" ht="54.75" customHeight="1" s="885">
      <c r="A20" s="145" t="inlineStr">
        <is>
          <t>ID005</t>
        </is>
      </c>
      <c r="B20" s="157" t="inlineStr">
        <is>
          <t>Total impôt différé actif qui ne dépend pas de la rentabilité future de l'établissement (net des impôts différés passif  associés)</t>
        </is>
      </c>
      <c r="C20" s="146" t="n">
        <v>0</v>
      </c>
      <c r="D20" s="152" t="inlineStr">
        <is>
          <t>(c)=a+b</t>
        </is>
      </c>
    </row>
    <row r="21" ht="36" customHeight="1" s="885">
      <c r="A21" s="141" t="n"/>
      <c r="B21" s="153" t="inlineStr">
        <is>
          <t>B.2. Impôt différé actif dépendant de la rentabilité future de l’établissement</t>
        </is>
      </c>
      <c r="C21" s="143" t="n"/>
      <c r="D21" s="144" t="n"/>
    </row>
    <row r="22" ht="54.75" customHeight="1" s="885">
      <c r="A22" s="145" t="inlineStr">
        <is>
          <t>ID006</t>
        </is>
      </c>
      <c r="B22" s="157" t="inlineStr">
        <is>
          <t>Total impôt différé actif qui dépend de la rentabilité future de l'établissement (montant brut)</t>
        </is>
      </c>
      <c r="C22" s="146" t="n">
        <v>0</v>
      </c>
      <c r="D22" s="921" t="inlineStr">
        <is>
          <t>(a)</t>
        </is>
      </c>
    </row>
    <row r="23" ht="34.5" customHeight="1" s="885">
      <c r="A23" s="145" t="inlineStr">
        <is>
          <t>ID007</t>
        </is>
      </c>
      <c r="B23" s="869" t="inlineStr">
        <is>
          <t xml:space="preserve">(-) Impôts différés passif associés </t>
        </is>
      </c>
      <c r="C23" s="146" t="n">
        <v>0</v>
      </c>
      <c r="D23" s="920" t="inlineStr">
        <is>
          <t>(b)</t>
        </is>
      </c>
    </row>
    <row r="24" ht="54.75" customHeight="1" s="885">
      <c r="A24" s="145" t="inlineStr">
        <is>
          <t>ID008</t>
        </is>
      </c>
      <c r="B24" s="117" t="inlineStr">
        <is>
          <t>Total impôt différé actif qui dépend de la rentabilité future de l'établissement (net des impôts différés passif  associés); dont</t>
        </is>
      </c>
      <c r="C24" s="146" t="n">
        <v>0</v>
      </c>
      <c r="D24" s="152" t="inlineStr">
        <is>
          <t>(c)=a+b</t>
        </is>
      </c>
    </row>
    <row r="25" ht="54.75" customHeight="1" s="885">
      <c r="A25" s="145" t="inlineStr">
        <is>
          <t>ID009</t>
        </is>
      </c>
      <c r="B25" s="51" t="inlineStr">
        <is>
          <t xml:space="preserve">           ne résultant pas de différences temporaires (net au prorata de l'impôt 
           différé passif)</t>
        </is>
      </c>
      <c r="C25" s="159" t="n">
        <v>0</v>
      </c>
      <c r="D25" s="160" t="n"/>
    </row>
    <row r="26" ht="54.75" customHeight="1" s="885">
      <c r="A26" s="145" t="inlineStr">
        <is>
          <t>ID010</t>
        </is>
      </c>
      <c r="B26" s="51" t="inlineStr">
        <is>
          <t xml:space="preserve">           résultant de différences temporaires (net au prorata de l'impôt différé 
           passif)</t>
        </is>
      </c>
      <c r="C26" s="159" t="n">
        <v>0</v>
      </c>
      <c r="D26" s="160" t="n"/>
    </row>
    <row r="27" ht="27.75" customHeight="1" s="885">
      <c r="A27" s="141" t="n"/>
      <c r="B27" s="142" t="inlineStr">
        <is>
          <t>C. Participations</t>
        </is>
      </c>
      <c r="C27" s="143" t="n"/>
      <c r="D27" s="161" t="n"/>
    </row>
    <row r="28" ht="54.75" customHeight="1" s="885">
      <c r="A28" s="141" t="n"/>
      <c r="B28" s="153" t="inlineStr">
        <is>
          <t>C.1. Détail des participations dans les établissements, les entreprises d'assurance et les autres entités financières</t>
        </is>
      </c>
      <c r="C28" s="143" t="n"/>
      <c r="D28" s="144" t="n"/>
    </row>
    <row r="29" ht="54.75" customFormat="1" customHeight="1" s="50">
      <c r="A29" s="51" t="inlineStr">
        <is>
          <t>PA150</t>
        </is>
      </c>
      <c r="B29" s="51" t="inlineStr">
        <is>
          <t>Total des participations dans les établissements</t>
        </is>
      </c>
      <c r="C29" s="146" t="n">
        <v>0</v>
      </c>
      <c r="D29" s="921" t="inlineStr">
        <is>
          <t>(a)</t>
        </is>
      </c>
    </row>
    <row r="30" ht="35.25" customFormat="1" customHeight="1" s="50">
      <c r="A30" s="51" t="inlineStr">
        <is>
          <t>PA151</t>
        </is>
      </c>
      <c r="B30" s="51" t="inlineStr">
        <is>
          <t>Total des participations dans les entreprises d'assurance et les autres entités financières</t>
        </is>
      </c>
      <c r="C30" s="146" t="n">
        <v>0</v>
      </c>
      <c r="D30" s="920" t="inlineStr">
        <is>
          <t>(b)</t>
        </is>
      </c>
    </row>
    <row r="31" ht="54.75" customFormat="1" customHeight="1" s="50">
      <c r="A31" s="51" t="inlineStr">
        <is>
          <t>PA152</t>
        </is>
      </c>
      <c r="B31" s="51" t="inlineStr">
        <is>
          <t>Total des participations dans les établissements, les entreprises d'assurance et les autres entités financières ; dont</t>
        </is>
      </c>
      <c r="C31" s="146" t="n">
        <v>0</v>
      </c>
      <c r="D31" s="162" t="inlineStr">
        <is>
          <t>(c)=a+b</t>
        </is>
      </c>
    </row>
    <row r="32" ht="22.5" customFormat="1" customHeight="1" s="50">
      <c r="A32" s="51" t="inlineStr">
        <is>
          <t>PA153</t>
        </is>
      </c>
      <c r="B32" s="51" t="inlineStr">
        <is>
          <t xml:space="preserve">      Participations croisées</t>
        </is>
      </c>
      <c r="C32" s="146" t="n">
        <v>0</v>
      </c>
      <c r="D32" s="162" t="n"/>
    </row>
    <row r="33" ht="22.5" customFormat="1" customHeight="1" s="50">
      <c r="A33" s="51" t="inlineStr">
        <is>
          <t>PA154</t>
        </is>
      </c>
      <c r="B33" s="51" t="inlineStr">
        <is>
          <t xml:space="preserve">      Participations non significatives (détention de part ≤ 10% )</t>
        </is>
      </c>
      <c r="C33" s="146" t="n">
        <v>0</v>
      </c>
      <c r="D33" s="921" t="inlineStr">
        <is>
          <t>(d)</t>
        </is>
      </c>
    </row>
    <row r="34" ht="22.5" customFormat="1" customHeight="1" s="50">
      <c r="A34" s="51" t="inlineStr">
        <is>
          <t>PA155</t>
        </is>
      </c>
      <c r="B34" s="51" t="inlineStr">
        <is>
          <t xml:space="preserve">      Participations significatives (détention de part &gt; 10% )</t>
        </is>
      </c>
      <c r="C34" s="146" t="n">
        <v>0</v>
      </c>
      <c r="D34" s="920" t="inlineStr">
        <is>
          <t>(e)</t>
        </is>
      </c>
    </row>
    <row r="35" ht="27.75" customHeight="1" s="885">
      <c r="A35" s="141" t="n"/>
      <c r="B35" s="142" t="inlineStr">
        <is>
          <t>C.2. Participations croisées</t>
        </is>
      </c>
      <c r="C35" s="143" t="n"/>
      <c r="D35" s="161" t="n"/>
    </row>
    <row r="36" ht="22.5" customFormat="1" customHeight="1" s="50">
      <c r="A36" s="51" t="inlineStr">
        <is>
          <t>PA156</t>
        </is>
      </c>
      <c r="B36" s="51" t="inlineStr">
        <is>
          <t>Eligibles au CET1</t>
        </is>
      </c>
      <c r="C36" s="146" t="n">
        <v>0</v>
      </c>
      <c r="D36" s="920" t="n"/>
    </row>
    <row r="37" ht="22.5" customFormat="1" customHeight="1" s="50">
      <c r="A37" s="51" t="inlineStr">
        <is>
          <t>PA157</t>
        </is>
      </c>
      <c r="B37" s="51" t="inlineStr">
        <is>
          <t>Eligibles au AT1</t>
        </is>
      </c>
      <c r="C37" s="146" t="n">
        <v>0</v>
      </c>
      <c r="D37" s="920" t="n"/>
    </row>
    <row r="38" ht="22.5" customFormat="1" customHeight="1" s="50">
      <c r="A38" s="51" t="inlineStr">
        <is>
          <t>PA158</t>
        </is>
      </c>
      <c r="B38" s="51" t="inlineStr">
        <is>
          <t>Eligibles au T2</t>
        </is>
      </c>
      <c r="C38" s="146" t="n">
        <v>0</v>
      </c>
      <c r="D38" s="920" t="n"/>
    </row>
    <row r="39" ht="27.75" customHeight="1" s="885">
      <c r="A39" s="141" t="n"/>
      <c r="B39" s="142" t="inlineStr">
        <is>
          <t xml:space="preserve">C.3. Participations non significatives </t>
        </is>
      </c>
      <c r="C39" s="143" t="n"/>
      <c r="D39" s="161" t="n"/>
    </row>
    <row r="40" ht="22.5" customFormat="1" customHeight="1" s="50">
      <c r="A40" s="51" t="inlineStr">
        <is>
          <t>PA159</t>
        </is>
      </c>
      <c r="B40" s="51" t="inlineStr">
        <is>
          <t xml:space="preserve">Eligibles au CET1 </t>
        </is>
      </c>
      <c r="C40" s="146" t="n">
        <v>0</v>
      </c>
      <c r="D40" s="920" t="inlineStr">
        <is>
          <t>(f)</t>
        </is>
      </c>
    </row>
    <row r="41" ht="22.5" customFormat="1" customHeight="1" s="50">
      <c r="A41" s="51" t="inlineStr">
        <is>
          <t>PA160</t>
        </is>
      </c>
      <c r="B41" s="51" t="inlineStr">
        <is>
          <t>Eligibles au AT1</t>
        </is>
      </c>
      <c r="C41" s="146" t="n">
        <v>0</v>
      </c>
      <c r="D41" s="920" t="inlineStr">
        <is>
          <t>(g)</t>
        </is>
      </c>
    </row>
    <row r="42" ht="22.5" customFormat="1" customHeight="1" s="50">
      <c r="A42" s="51" t="inlineStr">
        <is>
          <t>PA161</t>
        </is>
      </c>
      <c r="B42" s="51" t="inlineStr">
        <is>
          <t>Eligibles au T2</t>
        </is>
      </c>
      <c r="C42" s="146" t="n">
        <v>0</v>
      </c>
      <c r="D42" s="920" t="inlineStr">
        <is>
          <t>(h)</t>
        </is>
      </c>
    </row>
    <row r="43" ht="22.5" customFormat="1" customHeight="1" s="50">
      <c r="A43" s="51" t="inlineStr">
        <is>
          <t>FPI14</t>
        </is>
      </c>
      <c r="B43" s="51" t="inlineStr">
        <is>
          <t>Total des fonds propres CET1 ajustés avant déductions liées à des seuils</t>
        </is>
      </c>
      <c r="C43" s="146">
        <f>+'EP03'!C69</f>
        <v/>
      </c>
      <c r="D43" s="920" t="inlineStr">
        <is>
          <t>(i)</t>
        </is>
      </c>
    </row>
    <row r="44" ht="22.5" customFormat="1" customHeight="1" s="50">
      <c r="A44" s="51" t="inlineStr">
        <is>
          <t>PA162</t>
        </is>
      </c>
      <c r="B44" s="51" t="inlineStr">
        <is>
          <t xml:space="preserve">Participations non significatives à déduire des fonds propres ; dont </t>
        </is>
      </c>
      <c r="C44" s="146" t="n">
        <v>0</v>
      </c>
      <c r="D44" s="920" t="inlineStr">
        <is>
          <t>(j)=max[0; (d-0,1*i)]</t>
        </is>
      </c>
    </row>
    <row r="45" ht="22.5" customFormat="1" customHeight="1" s="50">
      <c r="A45" s="51" t="inlineStr">
        <is>
          <t>PA163</t>
        </is>
      </c>
      <c r="B45" s="51" t="inlineStr">
        <is>
          <t xml:space="preserve">           (-) Déduction affectée au CET1</t>
        </is>
      </c>
      <c r="C45" s="146" t="n">
        <v>0</v>
      </c>
      <c r="D45" s="920" t="inlineStr">
        <is>
          <t>(k)=j*(f/d)</t>
        </is>
      </c>
    </row>
    <row r="46" ht="22.5" customFormat="1" customHeight="1" s="50">
      <c r="A46" s="51" t="inlineStr">
        <is>
          <t>PA164</t>
        </is>
      </c>
      <c r="B46" s="51" t="inlineStr">
        <is>
          <t xml:space="preserve">           (-) Déduction affectée au AT1</t>
        </is>
      </c>
      <c r="C46" s="146" t="n">
        <v>0</v>
      </c>
      <c r="D46" s="920" t="inlineStr">
        <is>
          <t>(l)=j*(g/d)</t>
        </is>
      </c>
    </row>
    <row r="47" ht="22.5" customFormat="1" customHeight="1" s="50">
      <c r="A47" s="51" t="inlineStr">
        <is>
          <t>PA165</t>
        </is>
      </c>
      <c r="B47" s="51" t="inlineStr">
        <is>
          <t xml:space="preserve">           (-) Déduction affectée au T2</t>
        </is>
      </c>
      <c r="C47" s="146" t="n">
        <v>0</v>
      </c>
      <c r="D47" s="920" t="inlineStr">
        <is>
          <t>(m)=j*(h/d)</t>
        </is>
      </c>
    </row>
    <row r="48" ht="22.5" customFormat="1" customHeight="1" s="50">
      <c r="A48" s="51" t="inlineStr">
        <is>
          <t>PA166</t>
        </is>
      </c>
      <c r="B48" s="51" t="inlineStr">
        <is>
          <t>Participations non significatives non déduites des fonds propres</t>
        </is>
      </c>
      <c r="C48" s="146" t="n">
        <v>0</v>
      </c>
      <c r="D48" s="920" t="inlineStr">
        <is>
          <t>(n)=d-j</t>
        </is>
      </c>
    </row>
    <row r="49" ht="27.75" customHeight="1" s="885">
      <c r="A49" s="141" t="n"/>
      <c r="B49" s="142" t="inlineStr">
        <is>
          <t xml:space="preserve">C.4. Participations significatives </t>
        </is>
      </c>
      <c r="C49" s="143" t="n"/>
      <c r="D49" s="161" t="n"/>
    </row>
    <row r="50" ht="22.5" customFormat="1" customHeight="1" s="50">
      <c r="A50" s="51" t="inlineStr">
        <is>
          <t>PA167</t>
        </is>
      </c>
      <c r="B50" s="51" t="inlineStr">
        <is>
          <t>Eligibles au CET1 et qui sont des actions ordinaires</t>
        </is>
      </c>
      <c r="C50" s="146" t="n">
        <v>0</v>
      </c>
      <c r="D50" s="920" t="inlineStr">
        <is>
          <t>(o)</t>
        </is>
      </c>
    </row>
    <row r="51" ht="22.5" customFormat="1" customHeight="1" s="50">
      <c r="A51" s="51" t="inlineStr">
        <is>
          <t>PA168</t>
        </is>
      </c>
      <c r="B51" s="51" t="inlineStr">
        <is>
          <t>Eligibles au CET1 et qui ne sont pas des actions ordinaires</t>
        </is>
      </c>
      <c r="C51" s="146" t="n">
        <v>0</v>
      </c>
      <c r="D51" s="920" t="inlineStr">
        <is>
          <t>(p)</t>
        </is>
      </c>
    </row>
    <row r="52" ht="22.5" customFormat="1" customHeight="1" s="50">
      <c r="A52" s="51" t="inlineStr">
        <is>
          <t>PA169</t>
        </is>
      </c>
      <c r="B52" s="51" t="inlineStr">
        <is>
          <t>Eligibles au AT1</t>
        </is>
      </c>
      <c r="C52" s="146" t="n">
        <v>0</v>
      </c>
      <c r="D52" s="920" t="inlineStr">
        <is>
          <t>(q)</t>
        </is>
      </c>
    </row>
    <row r="53" ht="22.5" customFormat="1" customHeight="1" s="50">
      <c r="A53" s="51" t="inlineStr">
        <is>
          <t>PA170</t>
        </is>
      </c>
      <c r="B53" s="51" t="inlineStr">
        <is>
          <t>Eligibles au T2</t>
        </is>
      </c>
      <c r="C53" s="146" t="n">
        <v>0</v>
      </c>
      <c r="D53" s="920" t="inlineStr">
        <is>
          <t>(r)</t>
        </is>
      </c>
    </row>
    <row r="54" ht="54.75" customFormat="1" customHeight="1" s="50">
      <c r="A54" s="51" t="inlineStr">
        <is>
          <t>FPI15</t>
        </is>
      </c>
      <c r="B54" s="51" t="inlineStr">
        <is>
          <t>Total des fonds propres CET1 ajustés des déductions liées aux participations non significatives</t>
        </is>
      </c>
      <c r="C54" s="146">
        <f>C43</f>
        <v/>
      </c>
      <c r="D54" s="920" t="inlineStr">
        <is>
          <t>(s)</t>
        </is>
      </c>
    </row>
    <row r="55" ht="22.5" customFormat="1" customHeight="1" s="50">
      <c r="A55" s="51" t="inlineStr">
        <is>
          <t>PA171</t>
        </is>
      </c>
      <c r="B55" s="51" t="inlineStr">
        <is>
          <t xml:space="preserve">Participations significatives à déduire des fonds propres ; dont </t>
        </is>
      </c>
      <c r="C55" s="146" t="n">
        <v>0</v>
      </c>
      <c r="D55" s="920" t="inlineStr">
        <is>
          <t>(t)=u+v+w+x</t>
        </is>
      </c>
    </row>
    <row r="56" ht="22.5" customFormat="1" customHeight="1" s="50">
      <c r="A56" s="163" t="inlineStr">
        <is>
          <t>PA172</t>
        </is>
      </c>
      <c r="B56" s="51" t="inlineStr">
        <is>
          <t xml:space="preserve">           (-) Déduction affectée au CET1 qui sont des actions ordinaires</t>
        </is>
      </c>
      <c r="C56" s="146" t="n">
        <v>0</v>
      </c>
      <c r="D56" s="920" t="inlineStr">
        <is>
          <t>(u)=max[0; (o-0,1*s)]</t>
        </is>
      </c>
    </row>
    <row r="57" ht="22.5" customFormat="1" customHeight="1" s="50">
      <c r="A57" s="163" t="inlineStr">
        <is>
          <t>PA173</t>
        </is>
      </c>
      <c r="B57" s="51" t="inlineStr">
        <is>
          <t xml:space="preserve">           (-) Déduction affectée au CET1 qui ne sont pas des actions ordinaires</t>
        </is>
      </c>
      <c r="C57" s="146" t="n">
        <v>0</v>
      </c>
      <c r="D57" s="920" t="inlineStr">
        <is>
          <t>(v)=p</t>
        </is>
      </c>
    </row>
    <row r="58" ht="22.5" customFormat="1" customHeight="1" s="50">
      <c r="A58" s="163" t="inlineStr">
        <is>
          <t>PA174</t>
        </is>
      </c>
      <c r="B58" s="51" t="inlineStr">
        <is>
          <t xml:space="preserve">           (-) Déduction affectée au AT1</t>
        </is>
      </c>
      <c r="C58" s="146" t="n">
        <v>0</v>
      </c>
      <c r="D58" s="920" t="inlineStr">
        <is>
          <t>(w)=q</t>
        </is>
      </c>
    </row>
    <row r="59" ht="22.5" customFormat="1" customHeight="1" s="50">
      <c r="A59" s="163" t="inlineStr">
        <is>
          <t>PA175</t>
        </is>
      </c>
      <c r="B59" s="51" t="inlineStr">
        <is>
          <t xml:space="preserve">           (-) Déduction affectée au T2</t>
        </is>
      </c>
      <c r="C59" s="146" t="n">
        <v>0</v>
      </c>
      <c r="D59" s="922" t="inlineStr">
        <is>
          <t>(x)=r</t>
        </is>
      </c>
    </row>
    <row r="60" ht="27.75" customHeight="1" s="885">
      <c r="A60" s="141" t="n"/>
      <c r="B60" s="142" t="inlineStr">
        <is>
          <t>C.5. Déductions liées au seuil de 15%</t>
        </is>
      </c>
      <c r="C60" s="143" t="n"/>
      <c r="D60" s="161" t="n"/>
    </row>
    <row r="61" ht="54.75" customHeight="1" s="885">
      <c r="A61" s="145" t="inlineStr">
        <is>
          <t>ID010</t>
        </is>
      </c>
      <c r="B61" s="51" t="inlineStr">
        <is>
          <t xml:space="preserve">Impôt différé actif qui dépend de la rentabilité future de l'établissement et découlant des différences temporaires (net au prorata de l'impôt différé passif) </t>
        </is>
      </c>
      <c r="C61" s="146" t="n"/>
      <c r="D61" s="922" t="inlineStr">
        <is>
          <t>(y)</t>
        </is>
      </c>
    </row>
    <row r="62" ht="59.25" customHeight="1" s="885">
      <c r="A62" s="145" t="inlineStr">
        <is>
          <t>ID011</t>
        </is>
      </c>
      <c r="B62" s="51" t="inlineStr">
        <is>
          <t>Impôt différé actif qui dépend de la rentabilité future de l'établissement et découlant des différences temporaires (net au prorata de l'impôt différé passif) déduits des fonds propres</t>
        </is>
      </c>
      <c r="C62" s="146" t="n">
        <v>0</v>
      </c>
      <c r="D62" s="922" t="inlineStr">
        <is>
          <t>(z)= max[0; (y-0,1*s)]</t>
        </is>
      </c>
    </row>
    <row r="63" ht="60.75" customHeight="1" s="885">
      <c r="A63" s="145" t="inlineStr">
        <is>
          <t>ID012</t>
        </is>
      </c>
      <c r="B63" s="51" t="inlineStr">
        <is>
          <t>Impôt différé actif qui dépend de la rentabilité future de l'établissement et découlant des différences temporaires (net au prorata de l'impôt différé passif) non déduits des fonds propres</t>
        </is>
      </c>
      <c r="C63" s="146" t="n">
        <v>0</v>
      </c>
      <c r="D63" s="922" t="inlineStr">
        <is>
          <t>(aa)=y-z</t>
        </is>
      </c>
    </row>
    <row r="64" ht="28.5" customHeight="1" s="885">
      <c r="A64" s="51" t="inlineStr">
        <is>
          <t>PA176</t>
        </is>
      </c>
      <c r="B64" s="51" t="inlineStr">
        <is>
          <t>Participations significatives non déduites des fonds propres</t>
        </is>
      </c>
      <c r="C64" s="146" t="n">
        <v>0</v>
      </c>
      <c r="D64" s="922" t="inlineStr">
        <is>
          <t>(ab)=e-t</t>
        </is>
      </c>
    </row>
    <row r="65" ht="28.5" customHeight="1" s="885">
      <c r="A65" s="51" t="inlineStr">
        <is>
          <t>FPI17</t>
        </is>
      </c>
      <c r="B65" s="51" t="inlineStr">
        <is>
          <t>Eléments spécifiés</t>
        </is>
      </c>
      <c r="C65" s="146" t="n">
        <v>0</v>
      </c>
      <c r="D65" s="922" t="inlineStr">
        <is>
          <t>(ac)=aa+ab</t>
        </is>
      </c>
    </row>
    <row r="66" ht="59.25" customHeight="1" s="885">
      <c r="A66" s="51" t="inlineStr">
        <is>
          <t>FPI16</t>
        </is>
      </c>
      <c r="B66" s="51" t="inlineStr">
        <is>
          <t>Total des fonds propres CET1 ajustés des déductions individuelles liées aux participations significatives et aux impôts différés actifs résultant de différences temporaires</t>
        </is>
      </c>
      <c r="C66" s="146">
        <f>C54</f>
        <v/>
      </c>
      <c r="D66" s="922" t="inlineStr">
        <is>
          <t>(ad)</t>
        </is>
      </c>
    </row>
    <row r="67" ht="54.75" customHeight="1" s="885">
      <c r="A67" s="51" t="inlineStr">
        <is>
          <t>FPI18</t>
        </is>
      </c>
      <c r="B67" s="51" t="inlineStr">
        <is>
          <t>Montant maximal des éléments spécifiés pouvant être comptabilisé (seuil de 15 %)</t>
        </is>
      </c>
      <c r="C67" s="146">
        <f>C66*17.65%</f>
        <v/>
      </c>
      <c r="D67" s="922" t="inlineStr">
        <is>
          <t>(ae)=(ad-ac)*17,65%</t>
        </is>
      </c>
    </row>
    <row r="68" ht="27" customHeight="1" s="885">
      <c r="A68" s="51" t="inlineStr">
        <is>
          <t>FPI19</t>
        </is>
      </c>
      <c r="B68" s="51" t="inlineStr">
        <is>
          <t xml:space="preserve">Montant dépassant le seuil de 15 % </t>
        </is>
      </c>
      <c r="C68" s="146">
        <f>-C67</f>
        <v/>
      </c>
      <c r="D68" s="740" t="inlineStr">
        <is>
          <t xml:space="preserve">(af)=ac-ae       </t>
        </is>
      </c>
    </row>
    <row r="69" ht="22.5" customHeight="1" s="885">
      <c r="A69" s="51" t="inlineStr">
        <is>
          <t>FPI20</t>
        </is>
      </c>
      <c r="B69" s="51" t="inlineStr">
        <is>
          <t>(-) Montant dépassant le seuil de 15 % à déduire</t>
        </is>
      </c>
      <c r="C69" s="146" t="n">
        <v>0</v>
      </c>
      <c r="D69" s="740" t="inlineStr">
        <is>
          <t xml:space="preserve">(ag)=max[0; af]       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ikCqK6xvmC0MmgM9fMnYg==" formatRows="1" sort="1" spinCount="100000" hashValue="tBz42sbDlIirUkm6tWYuz0+t9a9CRbtqbp82znUZMJV1f9BvwXmKk4Pc9cOyMuI1DM2TdUGT50JBMNiWVfI3Rg=="/>
  <mergeCells count="2">
    <mergeCell ref="A1:C1"/>
    <mergeCell ref="A9:C9"/>
  </mergeCells>
  <pageMargins left="0.708333333333333" right="0.708333333333333" top="0.747916666666667" bottom="0.747916666666667" header="0.511811023622047" footer="0.315277777777778"/>
  <pageSetup orientation="portrait" paperSize="9" scale="56" horizontalDpi="300" verticalDpi="300"/>
  <headerFooter>
    <oddHeader/>
    <oddFooter>&amp;R&amp;P</oddFooter>
    <evenHeader/>
    <evenFooter/>
    <firstHeader/>
    <firstFooter/>
  </headerFooter>
  <rowBreaks count="1" manualBreakCount="1">
    <brk id="3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view="pageBreakPreview" zoomScale="70" zoomScaleNormal="60" zoomScaleSheetLayoutView="70" workbookViewId="0">
      <selection activeCell="C17" sqref="C17"/>
    </sheetView>
  </sheetViews>
  <sheetFormatPr baseColWidth="10" defaultColWidth="10" defaultRowHeight="27.75" customHeight="1"/>
  <cols>
    <col collapsed="1" width="11.08984375" customWidth="1" style="782" min="1" max="1"/>
    <col collapsed="1" width="122.90625" customWidth="1" style="782" min="2" max="2"/>
    <col collapsed="1" width="21.453125" customWidth="1" style="40" min="3" max="3"/>
    <col collapsed="1" width="19.81640625" customWidth="1" style="40" min="4" max="4"/>
    <col collapsed="1" width="10" customWidth="1" style="782" min="5" max="16384"/>
  </cols>
  <sheetData>
    <row r="1" ht="45" customHeight="1" s="885">
      <c r="A1" s="735" t="inlineStr">
        <is>
          <t>DISPOSITIONS TRANSITOIRES SUR BASE INDIVIDUELLE : RECLASSEMENT ET RETRAIT PROGRESSIF DES ELEMENTS DE FONDS PROPRES NON ADMISSIBLES</t>
        </is>
      </c>
      <c r="B1" s="886" t="n"/>
      <c r="C1" s="886" t="n"/>
      <c r="D1" s="166" t="inlineStr">
        <is>
          <t>EP04</t>
        </is>
      </c>
    </row>
    <row r="2" ht="31.5" customHeight="1" s="885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8" customHeight="1" s="885"/>
    <row r="8" ht="27.75" customHeight="1" s="885">
      <c r="A8" s="784" t="n"/>
      <c r="B8" s="784" t="n"/>
      <c r="C8" s="168" t="n"/>
    </row>
    <row r="9" ht="40.5" customFormat="1" customHeight="1" s="923">
      <c r="A9" s="766" t="inlineStr">
        <is>
          <t>Code DISPRU</t>
        </is>
      </c>
      <c r="B9" s="721" t="inlineStr">
        <is>
          <t>Poste</t>
        </is>
      </c>
      <c r="C9" s="721" t="inlineStr">
        <is>
          <t>Montant</t>
        </is>
      </c>
      <c r="D9" s="766" t="inlineStr">
        <is>
          <t>Formules de calcul</t>
        </is>
      </c>
    </row>
    <row r="10" ht="42.75" customFormat="1" customHeight="1" s="924">
      <c r="A10" s="925" t="inlineStr">
        <is>
          <t>DT001</t>
        </is>
      </c>
      <c r="B10" s="916" t="inlineStr">
        <is>
          <t>Taux de retrait des éléments de fonds propres non admissibles comptabilisés dans les fonds propres pendant la période de transition</t>
        </is>
      </c>
      <c r="C10" s="922" t="n">
        <v>0.9</v>
      </c>
      <c r="D10" s="171" t="inlineStr">
        <is>
          <t>(a)</t>
        </is>
      </c>
    </row>
    <row r="11" ht="15.75" customFormat="1" customHeight="1" s="926">
      <c r="A11" s="927" t="n"/>
      <c r="B11" s="928" t="n"/>
      <c r="C11" s="928" t="n"/>
      <c r="D11" s="929" t="n"/>
    </row>
    <row r="12" ht="36.75" customFormat="1" customHeight="1" s="924">
      <c r="A12" s="930" t="n"/>
      <c r="B12" s="931" t="inlineStr">
        <is>
          <t>A. Retrait progressif des instruments de fonds propres de base durs (CET1) non admissibles</t>
        </is>
      </c>
      <c r="C12" s="176" t="n"/>
      <c r="D12" s="162" t="n"/>
    </row>
    <row r="13" ht="36.75" customFormat="1" customHeight="1" s="924">
      <c r="A13" s="155" t="inlineStr">
        <is>
          <t>FPI01</t>
        </is>
      </c>
      <c r="B13" s="932" t="inlineStr">
        <is>
          <t>Capital social libéré dont ;</t>
        </is>
      </c>
      <c r="C13" s="156" t="n"/>
      <c r="D13" s="933" t="inlineStr">
        <is>
          <t>(b)</t>
        </is>
      </c>
    </row>
    <row r="14" ht="36.75" customFormat="1" customHeight="1" s="924">
      <c r="A14" s="925" t="inlineStr">
        <is>
          <t>DT002</t>
        </is>
      </c>
      <c r="B14" s="916" t="inlineStr">
        <is>
          <t>Part du capital social non admissibles comme éléments de CET1 au 1er janvier 2018 et les primes d'émission y relatives</t>
        </is>
      </c>
      <c r="C14" s="146" t="n"/>
      <c r="D14" s="171" t="inlineStr">
        <is>
          <t>(c)</t>
        </is>
      </c>
    </row>
    <row r="15" ht="36.75" customFormat="1" customHeight="1" s="924">
      <c r="A15" s="925" t="inlineStr">
        <is>
          <t>DT003</t>
        </is>
      </c>
      <c r="B15" s="916" t="inlineStr">
        <is>
          <t>Provisions réglementées</t>
        </is>
      </c>
      <c r="C15" s="146" t="n"/>
      <c r="D15" s="922" t="inlineStr">
        <is>
          <t>(d)</t>
        </is>
      </c>
    </row>
    <row r="16" ht="36.75" customFormat="1" customHeight="1" s="924">
      <c r="A16" s="925" t="inlineStr">
        <is>
          <t>DT004</t>
        </is>
      </c>
      <c r="B16" s="916" t="inlineStr">
        <is>
          <t>Fonds affectés</t>
        </is>
      </c>
      <c r="C16" s="146" t="n">
        <v>0</v>
      </c>
      <c r="D16" s="171" t="inlineStr">
        <is>
          <t>(e)</t>
        </is>
      </c>
    </row>
    <row r="17" ht="36.75" customFormat="1" customHeight="1" s="924">
      <c r="A17" s="925" t="inlineStr">
        <is>
          <t>DT005</t>
        </is>
      </c>
      <c r="B17" s="916" t="inlineStr">
        <is>
          <t>Total des éléments de CET1 non admissibles au 1er janvier 2018</t>
        </is>
      </c>
      <c r="C17" s="146" t="n">
        <v>0</v>
      </c>
      <c r="D17" s="922" t="inlineStr">
        <is>
          <t>(f)=c+d+e</t>
        </is>
      </c>
    </row>
    <row r="18" ht="36.75" customFormat="1" customHeight="1" s="924">
      <c r="A18" s="925" t="inlineStr">
        <is>
          <t>DT006</t>
        </is>
      </c>
      <c r="B18" s="916" t="inlineStr">
        <is>
          <t>Montant maximal des éléments de CET1 non admissibles qui peut être inclus dans les fonds propres</t>
        </is>
      </c>
      <c r="C18" s="146" t="n">
        <v>0</v>
      </c>
      <c r="D18" s="171" t="inlineStr">
        <is>
          <t>(g)=fxa</t>
        </is>
      </c>
    </row>
    <row r="19" ht="36.75" customFormat="1" customHeight="1" s="924">
      <c r="A19" s="925" t="inlineStr">
        <is>
          <t>DT007</t>
        </is>
      </c>
      <c r="B19" s="916" t="inlineStr">
        <is>
          <t>Montant réel des éléments de CET1 non admissibles en circulation à la date de déclaration</t>
        </is>
      </c>
      <c r="C19" s="146" t="n"/>
      <c r="D19" s="922" t="inlineStr">
        <is>
          <t>(h)</t>
        </is>
      </c>
    </row>
    <row r="20" ht="51.75" customFormat="1" customHeight="1" s="926">
      <c r="A20" s="112" t="inlineStr">
        <is>
          <t>FPI07</t>
        </is>
      </c>
      <c r="B20" s="934" t="inlineStr">
        <is>
          <t>Eléments de CET1 non admissibles au 1er janvier 2018 et inclus dans le CET1 selon les dispositions transitoires</t>
        </is>
      </c>
      <c r="C20" s="180" t="n">
        <v>0</v>
      </c>
      <c r="D20" s="833" t="inlineStr">
        <is>
          <t>i=min(g,h)</t>
        </is>
      </c>
    </row>
    <row r="21" ht="51.75" customFormat="1" customHeight="1" s="926">
      <c r="A21" s="112" t="inlineStr">
        <is>
          <t>FPI25</t>
        </is>
      </c>
      <c r="B21" s="934" t="inlineStr">
        <is>
          <t>Instruments de CET1 non admissibles au 1er janvier 2018 et éligibles dans les fonds propres de base additionnels (AT1)</t>
        </is>
      </c>
      <c r="C21" s="146" t="n"/>
      <c r="D21" s="833" t="n"/>
    </row>
    <row r="22" ht="36.75" customFormat="1" customHeight="1" s="924">
      <c r="A22" s="925" t="inlineStr">
        <is>
          <t>DT008</t>
        </is>
      </c>
      <c r="B22" s="916" t="inlineStr">
        <is>
          <t>Eléments de CET1 non admissibles au 1er janvier 2018 et éligibles dans les fonds propres complémentaires (T2) dont ;</t>
        </is>
      </c>
      <c r="C22" s="146" t="n">
        <v>0</v>
      </c>
      <c r="D22" s="171" t="n"/>
    </row>
    <row r="23" ht="45" customFormat="1" customHeight="1" s="926">
      <c r="A23" s="112" t="inlineStr">
        <is>
          <t>FPI33</t>
        </is>
      </c>
      <c r="B23" s="934" t="inlineStr">
        <is>
          <t xml:space="preserve">           Autres instruments de CET1 non admissibles au 1er janvier 2018 et éligibles dans les fonds propres   
           complémentaires (T2)</t>
        </is>
      </c>
      <c r="C23" s="180" t="n"/>
      <c r="D23" s="833" t="n"/>
    </row>
    <row r="24" ht="36.75" customFormat="1" customHeight="1" s="926">
      <c r="A24" s="112" t="inlineStr">
        <is>
          <t>FPI35</t>
        </is>
      </c>
      <c r="B24" s="934" t="inlineStr">
        <is>
          <t xml:space="preserve">           Provisions réglementées</t>
        </is>
      </c>
      <c r="C24" s="180" t="n">
        <v>0</v>
      </c>
      <c r="D24" s="833" t="n"/>
    </row>
    <row r="25" ht="36.75" customFormat="1" customHeight="1" s="926">
      <c r="A25" s="112" t="inlineStr">
        <is>
          <t>FPI36</t>
        </is>
      </c>
      <c r="B25" s="934" t="inlineStr">
        <is>
          <t xml:space="preserve">           Fonds affectés</t>
        </is>
      </c>
      <c r="C25" s="180" t="n">
        <v>0</v>
      </c>
      <c r="D25" s="935" t="n"/>
    </row>
    <row r="26" ht="36.75" customFormat="1" customHeight="1" s="924">
      <c r="A26" s="925" t="inlineStr">
        <is>
          <t>DT009</t>
        </is>
      </c>
      <c r="B26" s="916" t="inlineStr">
        <is>
          <t>Eléments de CET1 non admissibles au 1er janvier 2018 et exclus des fonds propres.</t>
        </is>
      </c>
      <c r="C26" s="146" t="n"/>
      <c r="D26" s="162" t="n"/>
    </row>
    <row r="27" ht="15.75" customFormat="1" customHeight="1" s="926">
      <c r="A27" s="927" t="n"/>
      <c r="B27" s="928" t="n"/>
      <c r="C27" s="928" t="n"/>
      <c r="D27" s="929" t="n"/>
    </row>
    <row r="28" ht="36.75" customFormat="1" customHeight="1" s="924">
      <c r="A28" s="930" t="n"/>
      <c r="B28" s="931" t="inlineStr">
        <is>
          <t>B. Retrait progressif des éléments de fonds propres complémentaires (T2) non admissibles</t>
        </is>
      </c>
      <c r="C28" s="176" t="n"/>
      <c r="D28" s="162" t="n"/>
    </row>
    <row r="29" ht="36.75" customFormat="1" customHeight="1" s="926">
      <c r="A29" s="925" t="inlineStr">
        <is>
          <t>DT010</t>
        </is>
      </c>
      <c r="B29" s="916" t="inlineStr">
        <is>
          <t>Dettes subordonnées en circulation au 1er janvier 2018* dont ;</t>
        </is>
      </c>
      <c r="C29" s="180" t="n"/>
      <c r="D29" s="922" t="inlineStr">
        <is>
          <t>(j)</t>
        </is>
      </c>
    </row>
    <row r="30" ht="49.5" customFormat="1" customHeight="1" s="924">
      <c r="A30" s="925" t="inlineStr">
        <is>
          <t>DT011</t>
        </is>
      </c>
      <c r="B30" s="916" t="inlineStr">
        <is>
          <t>Part des dettes subordonnées en circulation au 1er janvier 2018* non admissibles comme  élément de fonds propres complémentaires (T2)</t>
        </is>
      </c>
      <c r="C30" s="180" t="n">
        <v>0</v>
      </c>
      <c r="D30" s="922" t="inlineStr">
        <is>
          <t>(k)</t>
        </is>
      </c>
    </row>
    <row r="31" ht="36.75" customFormat="1" customHeight="1" s="926">
      <c r="A31" s="925" t="inlineStr">
        <is>
          <t>DT012</t>
        </is>
      </c>
      <c r="B31" s="916" t="inlineStr">
        <is>
          <t xml:space="preserve">
Ecarts de réévaluation
</t>
        </is>
      </c>
      <c r="C31" s="180" t="n"/>
      <c r="D31" s="171" t="inlineStr">
        <is>
          <t>(l)</t>
        </is>
      </c>
    </row>
    <row r="32" ht="36.75" customFormat="1" customHeight="1" s="924">
      <c r="A32" s="925" t="inlineStr">
        <is>
          <t>DT013</t>
        </is>
      </c>
      <c r="B32" s="916" t="inlineStr">
        <is>
          <t>Autres éléments de fonds propres complémentaires (T2) non admissibles au 1er janvier 2018</t>
        </is>
      </c>
      <c r="C32" s="180" t="n"/>
      <c r="D32" s="171" t="inlineStr">
        <is>
          <t>(m)</t>
        </is>
      </c>
    </row>
    <row r="33" ht="36.75" customFormat="1" customHeight="1" s="926">
      <c r="A33" s="925" t="inlineStr">
        <is>
          <t>DT014</t>
        </is>
      </c>
      <c r="B33" s="916" t="inlineStr">
        <is>
          <t>Total des éléments de fonds propres complémentaires (T2) non admissibles au 1er janvier 2018</t>
        </is>
      </c>
      <c r="C33" s="180" t="n">
        <v>0</v>
      </c>
      <c r="D33" s="922" t="inlineStr">
        <is>
          <t>(n)=k+l+m</t>
        </is>
      </c>
    </row>
    <row r="34" ht="45" customFormat="1" customHeight="1" s="924">
      <c r="A34" s="925" t="inlineStr">
        <is>
          <t>DT015</t>
        </is>
      </c>
      <c r="B34" s="916" t="inlineStr">
        <is>
          <t>Montant maximal éléments de fonds propres complémentaires (T2) non admissibles qui peut être inclus dans les fonds propres</t>
        </is>
      </c>
      <c r="C34" s="180" t="n">
        <v>0</v>
      </c>
      <c r="D34" s="171" t="inlineStr">
        <is>
          <t>(o)=nxa</t>
        </is>
      </c>
    </row>
    <row r="35" ht="45" customFormat="1" customHeight="1" s="926">
      <c r="A35" s="925" t="inlineStr">
        <is>
          <t>DT016</t>
        </is>
      </c>
      <c r="B35" s="916" t="inlineStr">
        <is>
          <t>Montant réel des éléments de fonds propres complémentaires (T2) non admissibles en circulation à la date de déclaration**</t>
        </is>
      </c>
      <c r="C35" s="180" t="n"/>
      <c r="D35" s="922" t="inlineStr">
        <is>
          <t>(p)</t>
        </is>
      </c>
    </row>
    <row r="36" ht="45" customFormat="1" customHeight="1" s="926">
      <c r="A36" s="112" t="inlineStr">
        <is>
          <t>FPI34</t>
        </is>
      </c>
      <c r="B36" s="934" t="inlineStr">
        <is>
          <t>Eléments de fonds propres complémentaires (T2) non admissibles au 1er janvier 2018 et inclus dans les fonds propres</t>
        </is>
      </c>
      <c r="C36" s="180" t="n">
        <v>0</v>
      </c>
      <c r="D36" s="833" t="inlineStr">
        <is>
          <t>(q)=min(o,p)</t>
        </is>
      </c>
    </row>
    <row r="37" ht="15.75" customFormat="1" customHeight="1" s="926">
      <c r="A37" s="936" t="n"/>
      <c r="B37" s="928" t="n"/>
      <c r="C37" s="928" t="n"/>
      <c r="D37" s="928" t="n"/>
    </row>
    <row r="38" ht="23.25" customFormat="1" customHeight="1" s="924">
      <c r="A38" s="937" t="inlineStr">
        <is>
          <t>* après amortissement, s'il y a lieu, jusqu'au 1er janvier 2018</t>
        </is>
      </c>
      <c r="B38" s="886" t="n"/>
      <c r="C38" s="938" t="n"/>
      <c r="D38" s="183" t="n"/>
    </row>
    <row r="39" ht="23.25" customFormat="1" customHeight="1" s="926">
      <c r="A39" s="937" t="inlineStr">
        <is>
          <t>** après amortissement, s'il y a lieu, jusqu'à la date de déclaration</t>
        </is>
      </c>
      <c r="B39" s="886" t="n"/>
      <c r="C39" s="923" t="n"/>
      <c r="D39" s="93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hP2bOOWugTCbxmS6L6Rrw==" formatRows="1" sort="1" spinCount="100000" hashValue="niyhnkS3J/pQJ7+CWknt10uCX8Ta8hGfyXSCvqJQbXpjcnmz99zr272SxN7WjoyhvTrLuTeOO7Qzq3Oxb0oH/g=="/>
  <mergeCells count="6">
    <mergeCell ref="A37:D37"/>
    <mergeCell ref="A38:B38"/>
    <mergeCell ref="A27:D27"/>
    <mergeCell ref="A1:C1"/>
    <mergeCell ref="A11:D11"/>
    <mergeCell ref="A39:B39"/>
  </mergeCells>
  <pageMargins left="0.708333333333333" right="0.708333333333333" top="0.747916666666667" bottom="0.747916666666667" header="0.511811023622047" footer="0.315277777777778"/>
  <pageSetup orientation="portrait" paperSize="9" scale="44" horizontalDpi="300" verticalDpi="300"/>
  <headerFooter>
    <oddHeader/>
    <oddFooter>&amp;R&amp;P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3"/>
  <sheetViews>
    <sheetView view="pageBreakPreview" zoomScale="61" zoomScaleNormal="70" zoomScaleSheetLayoutView="70" workbookViewId="0">
      <selection activeCell="B51" sqref="B51"/>
    </sheetView>
  </sheetViews>
  <sheetFormatPr baseColWidth="10" defaultColWidth="10" defaultRowHeight="27.75" customHeight="1"/>
  <cols>
    <col collapsed="1" width="11.08984375" customWidth="1" style="97" min="1" max="1"/>
    <col collapsed="1" width="135.1796875" customWidth="1" style="782" min="2" max="2"/>
    <col collapsed="1" width="19.81640625" customWidth="1" style="782" min="3" max="3"/>
    <col collapsed="1" width="10" customWidth="1" style="782" min="4" max="16384"/>
  </cols>
  <sheetData>
    <row r="1" ht="29.25" customHeight="1" s="885">
      <c r="A1" s="735" t="inlineStr">
        <is>
          <t>CALCUL DES FONDS PROPRES SUR BASE CONSOLIDEE</t>
        </is>
      </c>
      <c r="B1" s="886" t="n"/>
      <c r="C1" s="912" t="inlineStr">
        <is>
          <t>EP05</t>
        </is>
      </c>
    </row>
    <row r="2" ht="31.5" customHeight="1" s="885">
      <c r="B2" s="44" t="n"/>
      <c r="C2" s="893" t="n"/>
    </row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7.5" customHeight="1" s="885">
      <c r="B7" s="918" t="n"/>
    </row>
    <row r="8" ht="18" customHeight="1" s="885">
      <c r="A8" s="109" t="n"/>
      <c r="B8" s="184" t="n"/>
      <c r="C8" s="135" t="n"/>
    </row>
    <row r="9" ht="36" customFormat="1" customHeight="1" s="114">
      <c r="A9" s="112" t="inlineStr">
        <is>
          <t>Code DISPRU</t>
        </is>
      </c>
      <c r="B9" s="766" t="inlineStr">
        <is>
          <t>Poste</t>
        </is>
      </c>
      <c r="C9" s="766" t="inlineStr">
        <is>
          <t>Montant</t>
        </is>
      </c>
    </row>
    <row r="10" ht="27.75" customHeight="1" s="885">
      <c r="A10" s="115" t="n"/>
      <c r="B10" s="42" t="inlineStr">
        <is>
          <t>A. Fonds propres de base durs (CET 1)</t>
        </is>
      </c>
      <c r="C10" s="116" t="n"/>
    </row>
    <row r="11" ht="36.75" customFormat="1" customHeight="1" s="119">
      <c r="A11" s="117" t="inlineStr">
        <is>
          <t>FPC01</t>
        </is>
      </c>
      <c r="B11" s="117" t="inlineStr">
        <is>
          <t>Capital social libéré</t>
        </is>
      </c>
      <c r="C11" s="146" t="n"/>
    </row>
    <row r="12" ht="36.75" customFormat="1" customHeight="1" s="119">
      <c r="A12" s="117" t="inlineStr">
        <is>
          <t>FPC02</t>
        </is>
      </c>
      <c r="B12" s="117" t="inlineStr">
        <is>
          <t>Primes liées  à l'émission des instruments  CET1</t>
        </is>
      </c>
      <c r="C12" s="146" t="n"/>
    </row>
    <row r="13" ht="36.75" customFormat="1" customHeight="1" s="119">
      <c r="A13" s="117" t="inlineStr">
        <is>
          <t>FPC03</t>
        </is>
      </c>
      <c r="B13" s="117" t="inlineStr">
        <is>
          <t>Réserve spéciale</t>
        </is>
      </c>
      <c r="C13" s="146" t="n"/>
    </row>
    <row r="14" ht="36.75" customFormat="1" customHeight="1" s="119">
      <c r="A14" s="117" t="inlineStr">
        <is>
          <t>FPC04</t>
        </is>
      </c>
      <c r="B14" s="117" t="inlineStr">
        <is>
          <t>Autres réserves</t>
        </is>
      </c>
      <c r="C14" s="146" t="n"/>
    </row>
    <row r="15" ht="36.75" customFormat="1" customHeight="1" s="119">
      <c r="A15" s="117" t="inlineStr">
        <is>
          <t>FPC05</t>
        </is>
      </c>
      <c r="B15" s="117" t="inlineStr">
        <is>
          <t>Report à nouveau créditeur</t>
        </is>
      </c>
      <c r="C15" s="146" t="n"/>
    </row>
    <row r="16" ht="36.75" customFormat="1" customHeight="1" s="119">
      <c r="A16" s="117" t="inlineStr">
        <is>
          <t>FPC06</t>
        </is>
      </c>
      <c r="B16" s="117" t="inlineStr">
        <is>
          <t>Résultat bénéficiaire</t>
        </is>
      </c>
      <c r="C16" s="146" t="n"/>
    </row>
    <row r="17" ht="36.75" customFormat="1" customHeight="1" s="119">
      <c r="A17" s="117" t="inlineStr">
        <is>
          <t>FPC07</t>
        </is>
      </c>
      <c r="B17" s="117" t="inlineStr">
        <is>
          <t>Eléments de CET1 non admissibles au 1er janvier 2018 et inclus dans le CET1 selon les dispositions transitoires</t>
        </is>
      </c>
      <c r="C17" s="146" t="n"/>
    </row>
    <row r="18" ht="36.75" customFormat="1" customHeight="1" s="119">
      <c r="A18" s="117" t="inlineStr">
        <is>
          <t>INT16</t>
        </is>
      </c>
      <c r="B18" s="185" t="inlineStr">
        <is>
          <t>Intérêts minoritaires à inclure dans le CET1</t>
        </is>
      </c>
      <c r="C18" s="146" t="n"/>
    </row>
    <row r="19" ht="36.75" customFormat="1" customHeight="1" s="119">
      <c r="A19" s="117" t="inlineStr">
        <is>
          <t>FPC08</t>
        </is>
      </c>
      <c r="B19" s="112" t="inlineStr">
        <is>
          <t>Total des fonds propres CET1 avant déductions applicables</t>
        </is>
      </c>
      <c r="C19" s="146" t="n"/>
    </row>
    <row r="20" ht="36.75" customFormat="1" customHeight="1" s="119">
      <c r="A20" s="117" t="inlineStr">
        <is>
          <t>FPC09</t>
        </is>
      </c>
      <c r="B20" s="117" t="inlineStr">
        <is>
          <t>(-) Report à nouveau débiteur</t>
        </is>
      </c>
      <c r="C20" s="146" t="n"/>
    </row>
    <row r="21" ht="36.75" customFormat="1" customHeight="1" s="119">
      <c r="A21" s="117" t="inlineStr">
        <is>
          <t>FPC10</t>
        </is>
      </c>
      <c r="B21" s="117" t="inlineStr">
        <is>
          <t>(-) Résultat déficitaire</t>
        </is>
      </c>
      <c r="C21" s="146" t="n"/>
    </row>
    <row r="22" ht="36.75" customFormat="1" customHeight="1" s="119">
      <c r="A22" s="117" t="inlineStr">
        <is>
          <t>IM014</t>
        </is>
      </c>
      <c r="B22" s="186" t="inlineStr">
        <is>
          <t>(-) Goodwill (net d'impôts différés passif)</t>
        </is>
      </c>
      <c r="C22" s="146" t="n"/>
    </row>
    <row r="23" ht="36.75" customFormat="1" customHeight="1" s="119">
      <c r="A23" s="117" t="inlineStr">
        <is>
          <t>IM012</t>
        </is>
      </c>
      <c r="B23" s="117" t="inlineStr">
        <is>
          <t>(-) Immobilisations incorporelles (nettes d'impôts différés passif)</t>
        </is>
      </c>
      <c r="C23" s="146" t="n"/>
    </row>
    <row r="24" ht="36.75" customFormat="1" customHeight="1" s="119">
      <c r="A24" s="117" t="inlineStr">
        <is>
          <t>ID009</t>
        </is>
      </c>
      <c r="B24" s="117" t="inlineStr">
        <is>
          <t>(-) Impôt différé actif dépendant de la rentabilité future de l’établissement et ne résultant pas de différences temporaires (net d'impôts différés passif)</t>
        </is>
      </c>
      <c r="C24" s="146" t="n"/>
    </row>
    <row r="25" ht="36.75" customFormat="1" customHeight="1" s="119">
      <c r="A25" s="117" t="inlineStr">
        <is>
          <t>PA156</t>
        </is>
      </c>
      <c r="B25" s="117" t="inlineStr">
        <is>
          <t>(-) Participations croisées éligibles au CET1 dans les établissements, les entreprises d'assurance et les autres entités financières</t>
        </is>
      </c>
      <c r="C25" s="146" t="n"/>
    </row>
    <row r="26" ht="36.75" customFormat="1" customHeight="1" s="119">
      <c r="A26" s="117" t="inlineStr">
        <is>
          <t>PA173</t>
        </is>
      </c>
      <c r="B26" s="117" t="inlineStr">
        <is>
          <t>(-) Participations significatives éligibles au CET1 et qui ne sont pas des actions ordinaires</t>
        </is>
      </c>
      <c r="C26" s="146" t="n"/>
    </row>
    <row r="27" ht="36.75" customFormat="1" customHeight="1" s="119">
      <c r="A27" s="117" t="inlineStr">
        <is>
          <t>FPC11</t>
        </is>
      </c>
      <c r="B27" s="117" t="inlineStr">
        <is>
          <t>(-) Réserves de valorisation pour positions moins liquides</t>
        </is>
      </c>
      <c r="C27" s="146" t="n"/>
    </row>
    <row r="28" ht="36.75" customFormat="1" customHeight="1" s="119">
      <c r="A28" s="117" t="inlineStr">
        <is>
          <t>PA149</t>
        </is>
      </c>
      <c r="B28" s="117" t="inlineStr">
        <is>
          <t>(-) Excédent de la limite de participations dans des entités commerciales</t>
        </is>
      </c>
      <c r="C28" s="146" t="n"/>
    </row>
    <row r="29" ht="36.75" customFormat="1" customHeight="1" s="119">
      <c r="A29" s="117" t="inlineStr">
        <is>
          <t>IM006</t>
        </is>
      </c>
      <c r="B29" s="117" t="inlineStr">
        <is>
          <t>(-) Excédent de la limite applicable aux immobilisations hors exploitation</t>
        </is>
      </c>
      <c r="C29" s="146" t="n"/>
    </row>
    <row r="30" ht="36.75" customFormat="1" customHeight="1" s="119">
      <c r="A30" s="117" t="inlineStr">
        <is>
          <t>IM010</t>
        </is>
      </c>
      <c r="B30" s="117" t="inlineStr">
        <is>
          <t xml:space="preserve">(-) Excédent de la limite applicable au total des immobilisations et participations </t>
        </is>
      </c>
      <c r="C30" s="146" t="n"/>
    </row>
    <row r="31" ht="36.75" customFormat="1" customHeight="1" s="119">
      <c r="A31" s="117" t="inlineStr">
        <is>
          <t>PR004</t>
        </is>
      </c>
      <c r="B31" s="117" t="inlineStr">
        <is>
          <t>(-) Excédent de la  limite applicable aux prêts aux actionnaires, aux dirigeants et au personnel</t>
        </is>
      </c>
      <c r="C31" s="146" t="n"/>
    </row>
    <row r="32" ht="36.75" customFormat="1" customHeight="1" s="119">
      <c r="A32" s="117" t="inlineStr">
        <is>
          <t>FPC12</t>
        </is>
      </c>
      <c r="B32" s="119" t="inlineStr">
        <is>
          <t>(-) Expositions sur les établissements qui disposent de fonds propres négatifs</t>
        </is>
      </c>
      <c r="C32" s="146" t="n"/>
    </row>
    <row r="33" ht="36.75" customFormat="1" customHeight="1" s="119">
      <c r="A33" s="117" t="inlineStr">
        <is>
          <t>FPC13</t>
        </is>
      </c>
      <c r="B33" s="117" t="inlineStr">
        <is>
          <t xml:space="preserve">(-) Ajustements réglementaires à appliquer au CET1 en raison de l'insuffisance des fonds propres de base additionnels (AT1) pour couvrir les déductions </t>
        </is>
      </c>
      <c r="C33" s="146" t="n"/>
    </row>
    <row r="34" ht="36.75" customFormat="1" customHeight="1" s="120">
      <c r="A34" s="117" t="inlineStr">
        <is>
          <t>FPC14</t>
        </is>
      </c>
      <c r="B34" s="112" t="inlineStr">
        <is>
          <t>Total des fonds propres CET1 ajustés avant déductions liées à des seuils</t>
        </is>
      </c>
      <c r="C34" s="146" t="n"/>
    </row>
    <row r="35" ht="36.75" customFormat="1" customHeight="1" s="119">
      <c r="A35" s="117" t="inlineStr">
        <is>
          <t>PA163</t>
        </is>
      </c>
      <c r="B35" s="117" t="inlineStr">
        <is>
          <t>(-) Participations non significatives éligibles au CET1 dans les établissements, les entreprises d'assurance et les autres entités financières</t>
        </is>
      </c>
      <c r="C35" s="146" t="n"/>
    </row>
    <row r="36" ht="36.75" customFormat="1" customHeight="1" s="120">
      <c r="A36" s="117" t="inlineStr">
        <is>
          <t>FPC15</t>
        </is>
      </c>
      <c r="B36" s="112" t="inlineStr">
        <is>
          <t>Total des fonds propres CET1 ajustés des déductions liées aux participations non significatives</t>
        </is>
      </c>
      <c r="C36" s="146" t="n"/>
    </row>
    <row r="37" ht="36.75" customFormat="1" customHeight="1" s="119">
      <c r="A37" s="117" t="inlineStr">
        <is>
          <t>PA172</t>
        </is>
      </c>
      <c r="B37" s="117" t="inlineStr">
        <is>
          <t>(-) Participations significatives éligibles au CET1 dans les établissements, les entreprises d'assurance et les autres entités financières</t>
        </is>
      </c>
      <c r="C37" s="146" t="n"/>
    </row>
    <row r="38" ht="36.75" customFormat="1" customHeight="1" s="119">
      <c r="A38" s="117" t="inlineStr">
        <is>
          <t>ID011</t>
        </is>
      </c>
      <c r="B38" s="117" t="inlineStr">
        <is>
          <t>(-) Impôts différés actifs résultant de différences temporaires (nets de passifs d'impôt associés)</t>
        </is>
      </c>
      <c r="C38" s="146" t="n"/>
    </row>
    <row r="39" ht="36.75" customFormat="1" customHeight="1" s="119">
      <c r="A39" s="117" t="inlineStr">
        <is>
          <t>FPC16</t>
        </is>
      </c>
      <c r="B39" s="112" t="inlineStr">
        <is>
          <t>Total des fonds propres CET1 ajustés des déductions individuelles liées aux participations significatives et aux impôts différés actifs résultant de différences temporaires</t>
        </is>
      </c>
      <c r="C39" s="146" t="n"/>
    </row>
    <row r="40" ht="36.75" customFormat="1" customHeight="1" s="119">
      <c r="A40" s="117" t="inlineStr">
        <is>
          <t>FPC20</t>
        </is>
      </c>
      <c r="B40" s="117" t="inlineStr">
        <is>
          <t>(-) Montant dépassant le seuil de 15% du CET1</t>
        </is>
      </c>
      <c r="C40" s="146" t="n"/>
    </row>
    <row r="41" ht="36.75" customFormat="1" customHeight="1" s="119">
      <c r="A41" s="117" t="inlineStr">
        <is>
          <t>FPC21</t>
        </is>
      </c>
      <c r="B41" s="117" t="inlineStr">
        <is>
          <t>(-) Autres déductions applicables au CET1</t>
        </is>
      </c>
      <c r="C41" s="146" t="n"/>
    </row>
    <row r="42" ht="36.75" customFormat="1" customHeight="1" s="120">
      <c r="A42" s="117" t="inlineStr">
        <is>
          <t>FPC22</t>
        </is>
      </c>
      <c r="B42" s="112" t="inlineStr">
        <is>
          <t>TOTAL DES FONDS PROPRES CET1</t>
        </is>
      </c>
      <c r="C42" s="146" t="n"/>
    </row>
    <row r="43" ht="36.75" customHeight="1" s="885">
      <c r="A43" s="121" t="n"/>
      <c r="B43" s="122" t="inlineStr">
        <is>
          <t>B. Fonds propres de base additionnels (AT1)</t>
        </is>
      </c>
      <c r="C43" s="123" t="n"/>
    </row>
    <row r="44" ht="36.75" customHeight="1" s="885">
      <c r="A44" s="117" t="inlineStr">
        <is>
          <t>FPC23</t>
        </is>
      </c>
      <c r="B44" s="869" t="inlineStr">
        <is>
          <t>Instruments de capital libérés</t>
        </is>
      </c>
      <c r="C44" s="146" t="n"/>
    </row>
    <row r="45" ht="36.75" customHeight="1" s="885">
      <c r="A45" s="117" t="inlineStr">
        <is>
          <t>FPC24</t>
        </is>
      </c>
      <c r="B45" s="869" t="inlineStr">
        <is>
          <t>Primes liées à l'émission des instruments AT1</t>
        </is>
      </c>
      <c r="C45" s="146" t="n"/>
    </row>
    <row r="46" ht="46.5" customHeight="1" s="885">
      <c r="A46" s="117" t="inlineStr">
        <is>
          <t>FPC25</t>
        </is>
      </c>
      <c r="B46" s="916" t="inlineStr">
        <is>
          <t>Instruments de CET1 non admissibles au 1er janvier 2018 et éligibles dans les fonds propres fonds de base additionnels (AT1)</t>
        </is>
      </c>
      <c r="C46" s="146" t="n"/>
    </row>
    <row r="47" ht="36.75" customHeight="1" s="885">
      <c r="A47" s="117" t="inlineStr">
        <is>
          <t>INT22</t>
        </is>
      </c>
      <c r="B47" s="185" t="inlineStr">
        <is>
          <t>Intérêts minoritaires à inclure dans l'AT1</t>
        </is>
      </c>
      <c r="C47" s="146" t="n"/>
    </row>
    <row r="48" ht="36.75" customFormat="1" customHeight="1" s="42">
      <c r="A48" s="117" t="inlineStr">
        <is>
          <t>FPC26</t>
        </is>
      </c>
      <c r="B48" s="126" t="inlineStr">
        <is>
          <t>Total des fonds propres AT1 avant déductions applicables</t>
        </is>
      </c>
      <c r="C48" s="146" t="n"/>
    </row>
    <row r="49" ht="36.75" customFormat="1" customHeight="1" s="50">
      <c r="A49" s="117" t="inlineStr">
        <is>
          <t>PA157</t>
        </is>
      </c>
      <c r="B49" s="51" t="inlineStr">
        <is>
          <t>(-) Participations croisées éligibles au AT1 dans les établissements, les entreprises d'assurance et les autres entités financières</t>
        </is>
      </c>
      <c r="C49" s="146" t="n"/>
    </row>
    <row r="50" ht="36.75" customFormat="1" customHeight="1" s="50">
      <c r="A50" s="117" t="inlineStr">
        <is>
          <t>PA164</t>
        </is>
      </c>
      <c r="B50" s="51" t="inlineStr">
        <is>
          <t>(-) Participations non significatives éligibles au AT1 dans les établissements, les entreprises d'assurance et les autres entités financières</t>
        </is>
      </c>
      <c r="C50" s="146" t="n"/>
    </row>
    <row r="51" ht="36.75" customFormat="1" customHeight="1" s="50">
      <c r="A51" s="117" t="inlineStr">
        <is>
          <t>PA174</t>
        </is>
      </c>
      <c r="B51" s="51" t="inlineStr">
        <is>
          <t>(-) Participations significatives éligibles au AT1 dans les établissements, les entreprises d'assurance et les autres entités financières</t>
        </is>
      </c>
      <c r="C51" s="146" t="n"/>
    </row>
    <row r="52" ht="36.75" customFormat="1" customHeight="1" s="50">
      <c r="A52" s="117" t="inlineStr">
        <is>
          <t>FPC27</t>
        </is>
      </c>
      <c r="B52" s="117" t="inlineStr">
        <is>
          <t xml:space="preserve">(-) Ajustements réglementaires à appliquer au fonds propres AT1 en raison de l'insuffisance des fonds propres complémentaires (T2) pour couvrir les déductions </t>
        </is>
      </c>
      <c r="C52" s="146" t="n"/>
    </row>
    <row r="53" ht="36.75" customFormat="1" customHeight="1" s="42">
      <c r="A53" s="117" t="inlineStr">
        <is>
          <t>FPC28</t>
        </is>
      </c>
      <c r="B53" s="126" t="inlineStr">
        <is>
          <t xml:space="preserve">Total des fonds propres AT1  </t>
        </is>
      </c>
      <c r="C53" s="146" t="n"/>
    </row>
    <row r="54" ht="36.75" customHeight="1" s="885">
      <c r="A54" s="121" t="n"/>
      <c r="B54" s="122" t="inlineStr">
        <is>
          <t>C. Fonds Propres de Base (T1)</t>
        </is>
      </c>
      <c r="C54" s="123" t="n"/>
    </row>
    <row r="55" ht="36.75" customFormat="1" customHeight="1" s="42">
      <c r="A55" s="117" t="inlineStr">
        <is>
          <t>FPC29</t>
        </is>
      </c>
      <c r="B55" s="126" t="inlineStr">
        <is>
          <t>TOTAL DES FONDS PROPRES DE BASE T1</t>
        </is>
      </c>
      <c r="C55" s="187" t="n"/>
    </row>
    <row r="56" ht="36.75" customHeight="1" s="885">
      <c r="A56" s="121" t="n"/>
      <c r="B56" s="122" t="inlineStr">
        <is>
          <t>D. Fonds Propres Complémentaires (T2)</t>
        </is>
      </c>
      <c r="C56" s="123" t="n"/>
    </row>
    <row r="57" ht="36.75" customHeight="1" s="885">
      <c r="A57" s="117" t="inlineStr">
        <is>
          <t>FPC30</t>
        </is>
      </c>
      <c r="B57" s="869" t="inlineStr">
        <is>
          <t>Emprunts subordonnés</t>
        </is>
      </c>
      <c r="C57" s="146" t="n"/>
    </row>
    <row r="58" ht="36.75" customHeight="1" s="885">
      <c r="A58" s="117" t="inlineStr">
        <is>
          <t>FPC31</t>
        </is>
      </c>
      <c r="B58" s="869" t="inlineStr">
        <is>
          <t xml:space="preserve">Autres instruments de capital libérés </t>
        </is>
      </c>
      <c r="C58" s="146" t="n"/>
    </row>
    <row r="59" ht="36.75" customHeight="1" s="885">
      <c r="A59" s="117" t="inlineStr">
        <is>
          <t>FPC32</t>
        </is>
      </c>
      <c r="B59" s="869" t="inlineStr">
        <is>
          <t>Primes liées à l'émission des instruments T2</t>
        </is>
      </c>
      <c r="C59" s="146" t="n"/>
    </row>
    <row r="60" ht="36.75" customHeight="1" s="885">
      <c r="A60" s="117" t="inlineStr">
        <is>
          <t>FPC33</t>
        </is>
      </c>
      <c r="B60" s="916" t="inlineStr">
        <is>
          <t>Autres instruments de CET1 non admissibles au 1er janvier 2018 et éligibles dans les fonds propres complémentaires (T2)</t>
        </is>
      </c>
      <c r="C60" s="146" t="n"/>
    </row>
    <row r="61" ht="36.75" customHeight="1" s="885">
      <c r="A61" s="117" t="inlineStr">
        <is>
          <t>FPC34</t>
        </is>
      </c>
      <c r="B61" s="916" t="inlineStr">
        <is>
          <t>Eléments de fonds propres complémentaires (T2) non admissibles au 1er janvier 2018 et inclus dans les fonds propres</t>
        </is>
      </c>
      <c r="C61" s="146" t="n"/>
    </row>
    <row r="62" ht="36.75" customHeight="1" s="885">
      <c r="A62" s="117" t="inlineStr">
        <is>
          <t>FPC35</t>
        </is>
      </c>
      <c r="B62" s="869" t="inlineStr">
        <is>
          <t>Provisions réglementées</t>
        </is>
      </c>
      <c r="C62" s="146" t="n"/>
    </row>
    <row r="63" ht="36.75" customHeight="1" s="885">
      <c r="A63" s="117" t="inlineStr">
        <is>
          <t>FPC36</t>
        </is>
      </c>
      <c r="B63" s="869" t="inlineStr">
        <is>
          <t>Fonds affectés</t>
        </is>
      </c>
      <c r="C63" s="146" t="n"/>
    </row>
    <row r="64" ht="36.75" customHeight="1" s="885">
      <c r="A64" s="117" t="inlineStr">
        <is>
          <t>FPC37</t>
        </is>
      </c>
      <c r="B64" s="869" t="inlineStr">
        <is>
          <t>Subventions d’investissement</t>
        </is>
      </c>
      <c r="C64" s="146" t="n"/>
    </row>
    <row r="65" ht="36.75" customHeight="1" s="885">
      <c r="A65" s="117" t="inlineStr">
        <is>
          <t>FPC38</t>
        </is>
      </c>
      <c r="B65" s="869" t="inlineStr">
        <is>
          <t>Comptes bloqués d'actionnaires ou d'associés</t>
        </is>
      </c>
      <c r="C65" s="146" t="n"/>
    </row>
    <row r="66" ht="36.75" customHeight="1" s="885">
      <c r="A66" s="117" t="inlineStr">
        <is>
          <t>INT28</t>
        </is>
      </c>
      <c r="B66" s="185" t="inlineStr">
        <is>
          <t>Intérêts minoritaires à inclure dans le T2</t>
        </is>
      </c>
      <c r="C66" s="146" t="n"/>
    </row>
    <row r="67" ht="36.75" customFormat="1" customHeight="1" s="42">
      <c r="A67" s="117" t="inlineStr">
        <is>
          <t>FPC39</t>
        </is>
      </c>
      <c r="B67" s="126" t="inlineStr">
        <is>
          <t>Total des fonds propres T2 avant déductions applicables</t>
        </is>
      </c>
      <c r="C67" s="146" t="n"/>
    </row>
    <row r="68" ht="36.75" customHeight="1" s="885">
      <c r="A68" s="117" t="inlineStr">
        <is>
          <t>PA158</t>
        </is>
      </c>
      <c r="B68" s="869" t="inlineStr">
        <is>
          <t>(-) Participations croisées éligibles au T2 dans les établissements, les entreprises d'assurance et les autres entités financières</t>
        </is>
      </c>
      <c r="C68" s="146" t="n"/>
    </row>
    <row r="69" ht="36.75" customFormat="1" customHeight="1" s="50">
      <c r="A69" s="117" t="inlineStr">
        <is>
          <t>PA165</t>
        </is>
      </c>
      <c r="B69" s="51" t="inlineStr">
        <is>
          <t>(-) Participations non significatives éligibles au T2 dans les établissements, les entreprises d'assurance et les autres entités financières</t>
        </is>
      </c>
      <c r="C69" s="146" t="n"/>
    </row>
    <row r="70" ht="36.75" customHeight="1" s="885">
      <c r="A70" s="117" t="inlineStr">
        <is>
          <t>PA175</t>
        </is>
      </c>
      <c r="B70" s="51" t="inlineStr">
        <is>
          <t>(-) Participations significatives éligibles au T2  dans les établissements, les entreprises d'assurance et les autres entités financières</t>
        </is>
      </c>
      <c r="C70" s="146" t="n"/>
    </row>
    <row r="71" ht="36.75" customFormat="1" customHeight="1" s="42">
      <c r="A71" s="117" t="inlineStr">
        <is>
          <t>FPC40</t>
        </is>
      </c>
      <c r="B71" s="126" t="inlineStr">
        <is>
          <t xml:space="preserve">Total des fonds propres T2   </t>
        </is>
      </c>
      <c r="C71" s="146" t="n"/>
    </row>
    <row r="72" ht="36.75" customFormat="1" customHeight="1" s="42">
      <c r="A72" s="121" t="n"/>
      <c r="B72" s="122" t="inlineStr">
        <is>
          <t>E. Fonds Propres effectifs (FPE)</t>
        </is>
      </c>
      <c r="C72" s="128" t="n"/>
    </row>
    <row r="73" ht="36.75" customFormat="1" customHeight="1" s="42">
      <c r="A73" s="117" t="inlineStr">
        <is>
          <t>FPC41</t>
        </is>
      </c>
      <c r="B73" s="126" t="inlineStr">
        <is>
          <t xml:space="preserve"> FONDS PROPRES EFFECTIFS</t>
        </is>
      </c>
      <c r="C73" s="14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9qX81IHosVfkkCjqxWYGQ==" formatRows="1" sort="1" spinCount="100000" hashValue="GCtzwJmTXthKm8qzIGcQvZB/e3NM2Te96Wdas6a4G6WGT0t3x1aHKDp65+oe2+JRL9/CEQ/4ZnbahluhixsOeQ=="/>
  <mergeCells count="1">
    <mergeCell ref="A1:B1"/>
  </mergeCells>
  <pageMargins left="0.708333333333333" right="0.708333333333333" top="0.747916666666667" bottom="0.747916666666667" header="0.511811023622047" footer="0.315277777777778"/>
  <pageSetup orientation="portrait" paperSize="9" scale="46" horizontalDpi="300" verticalDpi="300"/>
  <headerFooter>
    <oddHeader/>
    <oddFooter>&amp;R&amp;P</oddFooter>
    <evenHeader/>
    <evenFooter/>
    <firstHeader/>
    <firstFooter/>
  </headerFooter>
  <rowBreaks count="2" manualBreakCount="2">
    <brk id="42" min="0" max="16383" man="1"/>
    <brk id="7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2"/>
  <sheetViews>
    <sheetView view="pageBreakPreview" zoomScale="70" zoomScaleNormal="70" zoomScaleSheetLayoutView="70" workbookViewId="0">
      <selection activeCell="B13" sqref="B13"/>
    </sheetView>
  </sheetViews>
  <sheetFormatPr baseColWidth="10" defaultColWidth="10" defaultRowHeight="17.25" customHeight="1"/>
  <cols>
    <col collapsed="1" width="9.7265625" customWidth="1" style="782" min="1" max="1"/>
    <col collapsed="1" width="84.6328125" customWidth="1" style="782" min="2" max="2"/>
    <col collapsed="1" width="19.08984375" customWidth="1" style="40" min="3" max="3"/>
    <col collapsed="1" width="25.6328125" customWidth="1" style="40" min="4" max="4"/>
    <col collapsed="1" width="10" customWidth="1" style="782" min="5" max="16384"/>
  </cols>
  <sheetData>
    <row r="1" ht="29.25" customHeight="1" s="885">
      <c r="A1" s="735" t="inlineStr">
        <is>
          <t>CALCUL DES FONDS PROPRES SUR BASE CONSOLIDEE</t>
        </is>
      </c>
      <c r="B1" s="886" t="n"/>
      <c r="C1" s="886" t="n"/>
      <c r="D1" s="912" t="inlineStr">
        <is>
          <t>EP05</t>
        </is>
      </c>
    </row>
    <row r="2" ht="31.5" customHeight="1" s="885">
      <c r="A2" s="97" t="n"/>
      <c r="B2" s="100" t="n"/>
      <c r="C2" s="893" t="n"/>
    </row>
    <row r="3" ht="17.5" customFormat="1" customHeight="1" s="103">
      <c r="A3" s="101" t="n"/>
      <c r="B3" s="102" t="n"/>
      <c r="D3" s="131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05" t="n"/>
      <c r="B4" s="914" t="n"/>
      <c r="D4" s="131" t="n"/>
    </row>
    <row r="5" ht="17.5" customFormat="1" customHeight="1" s="103">
      <c r="A5" s="105" t="n"/>
      <c r="B5" s="914" t="n"/>
      <c r="D5" s="131" t="n"/>
    </row>
    <row r="6" ht="17.5" customFormat="1" customHeight="1" s="103">
      <c r="A6" s="101" t="n"/>
      <c r="B6" s="914" t="n"/>
      <c r="D6" s="131" t="n"/>
    </row>
    <row r="7" ht="17.5" customHeight="1" s="885">
      <c r="A7" s="107" t="n"/>
      <c r="B7" s="915" t="n"/>
      <c r="C7" s="782" t="n"/>
    </row>
    <row r="8" ht="18" customHeight="1" s="885">
      <c r="A8" s="97" t="n"/>
      <c r="B8" s="188" t="n"/>
      <c r="C8" s="111" t="n"/>
    </row>
    <row r="9" ht="27.75" customHeight="1" s="885">
      <c r="A9" s="736" t="inlineStr">
        <is>
          <t>Poste mémoire - Déductions applicables aux fonds propres sur base consolidée</t>
        </is>
      </c>
      <c r="B9" s="886" t="n"/>
      <c r="C9" s="886" t="n"/>
    </row>
    <row r="10" ht="27.75" customHeight="1" s="885">
      <c r="A10" s="736" t="n"/>
      <c r="B10" s="137" t="n"/>
      <c r="C10" s="736" t="n"/>
    </row>
    <row r="11" ht="54" customFormat="1" customHeight="1" s="40">
      <c r="A11" s="833" t="inlineStr">
        <is>
          <t>Code DISPRU</t>
        </is>
      </c>
      <c r="B11" s="775" t="inlineStr">
        <is>
          <t>Poste</t>
        </is>
      </c>
      <c r="C11" s="832" t="inlineStr">
        <is>
          <t>Montant</t>
        </is>
      </c>
      <c r="D11" s="721" t="inlineStr">
        <is>
          <t>Formules de calcul</t>
        </is>
      </c>
    </row>
    <row r="12" ht="27.75" customHeight="1" s="885">
      <c r="A12" s="141" t="n"/>
      <c r="B12" s="142" t="inlineStr">
        <is>
          <t xml:space="preserve">A. Immobilisations incorporelles </t>
        </is>
      </c>
      <c r="C12" s="143" t="n"/>
      <c r="D12" s="189" t="n"/>
    </row>
    <row r="13" ht="22.5" customHeight="1" s="885">
      <c r="A13" s="145" t="inlineStr">
        <is>
          <t>IM011</t>
        </is>
      </c>
      <c r="B13" s="869" t="inlineStr">
        <is>
          <t xml:space="preserve">Immobilisations incorporelles </t>
        </is>
      </c>
      <c r="C13" s="146" t="n"/>
      <c r="D13" s="939" t="inlineStr">
        <is>
          <t>(a)</t>
        </is>
      </c>
    </row>
    <row r="14" ht="22.5" customHeight="1" s="885">
      <c r="A14" s="145" t="inlineStr">
        <is>
          <t>ID001</t>
        </is>
      </c>
      <c r="B14" s="869" t="inlineStr">
        <is>
          <t xml:space="preserve">(-) Impôts différés passif associés </t>
        </is>
      </c>
      <c r="C14" s="146" t="n"/>
      <c r="D14" s="922" t="inlineStr">
        <is>
          <t>(b)</t>
        </is>
      </c>
    </row>
    <row r="15" ht="22.5" customFormat="1" customHeight="1" s="42">
      <c r="A15" s="149" t="inlineStr">
        <is>
          <t>IM012</t>
        </is>
      </c>
      <c r="B15" s="150" t="inlineStr">
        <is>
          <t>Immobilisations incorporelles (nettes d'impôts différés passif)</t>
        </is>
      </c>
      <c r="C15" s="146" t="n"/>
      <c r="D15" s="171" t="inlineStr">
        <is>
          <t>(c)= a+b</t>
        </is>
      </c>
    </row>
    <row r="16" ht="22.5" customHeight="1" s="885">
      <c r="A16" s="145" t="inlineStr">
        <is>
          <t>IM013</t>
        </is>
      </c>
      <c r="B16" s="869" t="inlineStr">
        <is>
          <t>Goodwill</t>
        </is>
      </c>
      <c r="C16" s="146" t="n"/>
      <c r="D16" s="939" t="inlineStr">
        <is>
          <t>(e)</t>
        </is>
      </c>
    </row>
    <row r="17" ht="22.5" customHeight="1" s="885">
      <c r="A17" s="145" t="inlineStr">
        <is>
          <t>ID002</t>
        </is>
      </c>
      <c r="B17" s="869" t="inlineStr">
        <is>
          <t xml:space="preserve">(-) Impôts différés passif associés </t>
        </is>
      </c>
      <c r="C17" s="146" t="n"/>
      <c r="D17" s="922" t="inlineStr">
        <is>
          <t>(f)</t>
        </is>
      </c>
    </row>
    <row r="18" ht="22.5" customFormat="1" customHeight="1" s="42">
      <c r="A18" s="149" t="inlineStr">
        <is>
          <t>IM014</t>
        </is>
      </c>
      <c r="B18" s="150" t="inlineStr">
        <is>
          <t>Goodwill (net d'impôts différés passif)</t>
        </is>
      </c>
      <c r="C18" s="146" t="n"/>
      <c r="D18" s="171" t="inlineStr">
        <is>
          <t>(g)= e+f</t>
        </is>
      </c>
    </row>
    <row r="19" ht="27.75" customHeight="1" s="885">
      <c r="A19" s="141" t="n"/>
      <c r="B19" s="142" t="inlineStr">
        <is>
          <t>B. Impôts différés actifs</t>
        </is>
      </c>
      <c r="C19" s="143" t="n"/>
      <c r="D19" s="161" t="n"/>
    </row>
    <row r="20" ht="51.75" customHeight="1" s="885">
      <c r="A20" s="141" t="n"/>
      <c r="B20" s="153" t="inlineStr">
        <is>
          <t>B.1. Impôt différé actif ne dépendant pas de la rentabilité future de l’établissement</t>
        </is>
      </c>
      <c r="C20" s="143" t="n"/>
      <c r="D20" s="144" t="n"/>
    </row>
    <row r="21" ht="51.75" customHeight="1" s="885">
      <c r="A21" s="154" t="inlineStr">
        <is>
          <t>ID003</t>
        </is>
      </c>
      <c r="B21" s="155" t="inlineStr">
        <is>
          <t>Total impôt différé actif qui ne dépend pas de la rentabilité future de l'établissement (montant brut)</t>
        </is>
      </c>
      <c r="C21" s="156" t="n"/>
      <c r="D21" s="919" t="inlineStr">
        <is>
          <t>(a)</t>
        </is>
      </c>
    </row>
    <row r="22" ht="22.5" customHeight="1" s="885">
      <c r="A22" s="145" t="inlineStr">
        <is>
          <t>ID004</t>
        </is>
      </c>
      <c r="B22" s="869" t="inlineStr">
        <is>
          <t xml:space="preserve">(-) Impôts différés passif associés </t>
        </is>
      </c>
      <c r="C22" s="146" t="n"/>
      <c r="D22" s="920" t="inlineStr">
        <is>
          <t>(b)</t>
        </is>
      </c>
    </row>
    <row r="23" ht="51.75" customHeight="1" s="885">
      <c r="A23" s="145" t="inlineStr">
        <is>
          <t>ID005</t>
        </is>
      </c>
      <c r="B23" s="157" t="inlineStr">
        <is>
          <t>Total impôt différé actif qui ne dépend pas de la rentabilité future de l'établissement (net des impôts différés passif  associés)</t>
        </is>
      </c>
      <c r="C23" s="146" t="n"/>
      <c r="D23" s="152" t="inlineStr">
        <is>
          <t>(c)= a+b</t>
        </is>
      </c>
    </row>
    <row r="24" ht="51.75" customHeight="1" s="885">
      <c r="A24" s="141" t="n"/>
      <c r="B24" s="153" t="inlineStr">
        <is>
          <t>B.2. Impôt différé actif dépendant de la rentabilité future de l’établissement</t>
        </is>
      </c>
      <c r="C24" s="143" t="n"/>
      <c r="D24" s="144" t="n"/>
    </row>
    <row r="25" ht="51.75" customHeight="1" s="885">
      <c r="A25" s="145" t="inlineStr">
        <is>
          <t>ID006</t>
        </is>
      </c>
      <c r="B25" s="157" t="inlineStr">
        <is>
          <t>Total impôt différé actif qui dépend de la rentabilité future de l'établissement (montant brut)</t>
        </is>
      </c>
      <c r="C25" s="146" t="n"/>
      <c r="D25" s="939" t="inlineStr">
        <is>
          <t>(a)</t>
        </is>
      </c>
    </row>
    <row r="26" ht="22.5" customHeight="1" s="885">
      <c r="A26" s="145" t="inlineStr">
        <is>
          <t>ID007</t>
        </is>
      </c>
      <c r="B26" s="869" t="inlineStr">
        <is>
          <t xml:space="preserve">(-) Impôts différés passif associés </t>
        </is>
      </c>
      <c r="C26" s="146" t="n"/>
      <c r="D26" s="922" t="inlineStr">
        <is>
          <t>(b)</t>
        </is>
      </c>
    </row>
    <row r="27" ht="51.75" customHeight="1" s="885">
      <c r="A27" s="145" t="inlineStr">
        <is>
          <t>ID008</t>
        </is>
      </c>
      <c r="B27" s="117" t="inlineStr">
        <is>
          <t>Total impôt différé actif qui dépend de la rentabilité future de l'établissement (net des impôts différés passif  associés); dont</t>
        </is>
      </c>
      <c r="C27" s="146" t="n"/>
      <c r="D27" s="171" t="inlineStr">
        <is>
          <t>(c)= a+b</t>
        </is>
      </c>
    </row>
    <row r="28" ht="51.75" customHeight="1" s="885">
      <c r="A28" s="145" t="inlineStr">
        <is>
          <t>ID009</t>
        </is>
      </c>
      <c r="B28" s="51" t="inlineStr">
        <is>
          <t xml:space="preserve">           ne résultant pas de différences temporaires (net au prorata de l'impôt 
           différé passif)</t>
        </is>
      </c>
      <c r="C28" s="146" t="n"/>
      <c r="D28" s="740" t="n"/>
    </row>
    <row r="29" ht="51.75" customHeight="1" s="885">
      <c r="A29" s="145" t="inlineStr">
        <is>
          <t>ID010</t>
        </is>
      </c>
      <c r="B29" s="51" t="inlineStr">
        <is>
          <t xml:space="preserve">           résultant de différences temporaires (net au prorata de l'impôt différé 
           passif)</t>
        </is>
      </c>
      <c r="C29" s="146" t="n"/>
      <c r="D29" s="896" t="n"/>
    </row>
    <row r="30" ht="27.75" customHeight="1" s="885">
      <c r="A30" s="141" t="n"/>
      <c r="B30" s="142" t="inlineStr">
        <is>
          <t>C. Participations</t>
        </is>
      </c>
      <c r="C30" s="143" t="n"/>
      <c r="D30" s="161" t="n"/>
    </row>
    <row r="31" ht="36" customHeight="1" s="885">
      <c r="A31" s="141" t="n"/>
      <c r="B31" s="153" t="inlineStr">
        <is>
          <t>C.1. Détail des participations dans les établissements, les entreprises d'assurance et les autres entités financières</t>
        </is>
      </c>
      <c r="C31" s="143" t="n"/>
      <c r="D31" s="144" t="n"/>
    </row>
    <row r="32" ht="51.75" customFormat="1" customHeight="1" s="50">
      <c r="A32" s="51" t="inlineStr">
        <is>
          <t>PA150</t>
        </is>
      </c>
      <c r="B32" s="51" t="inlineStr">
        <is>
          <t>Total des participations dans les établissements</t>
        </is>
      </c>
      <c r="C32" s="146" t="n"/>
      <c r="D32" s="921" t="inlineStr">
        <is>
          <t>(a)</t>
        </is>
      </c>
    </row>
    <row r="33" ht="37.5" customFormat="1" customHeight="1" s="50">
      <c r="A33" s="51" t="inlineStr">
        <is>
          <t>PA151</t>
        </is>
      </c>
      <c r="B33" s="51" t="inlineStr">
        <is>
          <t>Total des participations dans les entreprises d'assurance et les autres entités financières</t>
        </is>
      </c>
      <c r="C33" s="146" t="n"/>
      <c r="D33" s="920" t="inlineStr">
        <is>
          <t>(b)</t>
        </is>
      </c>
    </row>
    <row r="34" ht="51.75" customFormat="1" customHeight="1" s="50">
      <c r="A34" s="51" t="inlineStr">
        <is>
          <t>PA152</t>
        </is>
      </c>
      <c r="B34" s="51" t="inlineStr">
        <is>
          <t>Total des participations dans les établissements, les entreprises d'assurance et les autres entités financières ; dont</t>
        </is>
      </c>
      <c r="C34" s="146" t="n"/>
      <c r="D34" s="162" t="inlineStr">
        <is>
          <t>(c)= a+b</t>
        </is>
      </c>
    </row>
    <row r="35" ht="22.5" customFormat="1" customHeight="1" s="50">
      <c r="A35" s="51" t="inlineStr">
        <is>
          <t>PA153</t>
        </is>
      </c>
      <c r="B35" s="51" t="inlineStr">
        <is>
          <t xml:space="preserve">      Participations croisées</t>
        </is>
      </c>
      <c r="C35" s="146" t="n"/>
      <c r="D35" s="162" t="n"/>
    </row>
    <row r="36" ht="22.5" customFormat="1" customHeight="1" s="50">
      <c r="A36" s="51" t="inlineStr">
        <is>
          <t>PA154</t>
        </is>
      </c>
      <c r="B36" s="51" t="inlineStr">
        <is>
          <t xml:space="preserve">      Participations non significatives (détention de part ≤ 10% )</t>
        </is>
      </c>
      <c r="C36" s="146" t="n"/>
      <c r="D36" s="921" t="inlineStr">
        <is>
          <t>(d)</t>
        </is>
      </c>
    </row>
    <row r="37" ht="22.5" customFormat="1" customHeight="1" s="50">
      <c r="A37" s="51" t="inlineStr">
        <is>
          <t>PA155</t>
        </is>
      </c>
      <c r="B37" s="51" t="inlineStr">
        <is>
          <t xml:space="preserve">      Participations significatives (détention de part &gt; 10% )</t>
        </is>
      </c>
      <c r="C37" s="146" t="n"/>
      <c r="D37" s="920" t="inlineStr">
        <is>
          <t>(e)</t>
        </is>
      </c>
    </row>
    <row r="38" ht="27.75" customHeight="1" s="885">
      <c r="A38" s="141" t="n"/>
      <c r="B38" s="142" t="inlineStr">
        <is>
          <t>C.2. Participations croisées</t>
        </is>
      </c>
      <c r="C38" s="143" t="n"/>
      <c r="D38" s="161" t="n"/>
    </row>
    <row r="39" ht="22.5" customFormat="1" customHeight="1" s="50">
      <c r="A39" s="51" t="inlineStr">
        <is>
          <t>PA156</t>
        </is>
      </c>
      <c r="B39" s="51" t="inlineStr">
        <is>
          <t>Eligibles au CET1</t>
        </is>
      </c>
      <c r="C39" s="146" t="n"/>
      <c r="D39" s="920" t="n"/>
    </row>
    <row r="40" ht="22.5" customFormat="1" customHeight="1" s="50">
      <c r="A40" s="51" t="inlineStr">
        <is>
          <t>PA157</t>
        </is>
      </c>
      <c r="B40" s="51" t="inlineStr">
        <is>
          <t>Eligibles au AT1</t>
        </is>
      </c>
      <c r="C40" s="146" t="n"/>
      <c r="D40" s="920" t="n"/>
    </row>
    <row r="41" ht="22.5" customFormat="1" customHeight="1" s="50">
      <c r="A41" s="51" t="inlineStr">
        <is>
          <t>PA158</t>
        </is>
      </c>
      <c r="B41" s="51" t="inlineStr">
        <is>
          <t>Eligibles au T2</t>
        </is>
      </c>
      <c r="C41" s="146" t="n"/>
      <c r="D41" s="920" t="n"/>
    </row>
    <row r="42" ht="27.75" customHeight="1" s="885">
      <c r="A42" s="141" t="n"/>
      <c r="B42" s="142" t="inlineStr">
        <is>
          <t xml:space="preserve">C.3. Participations non significatives </t>
        </is>
      </c>
      <c r="C42" s="143" t="n"/>
      <c r="D42" s="161" t="n"/>
    </row>
    <row r="43" ht="22.5" customFormat="1" customHeight="1" s="50">
      <c r="A43" s="51" t="inlineStr">
        <is>
          <t>PA159</t>
        </is>
      </c>
      <c r="B43" s="51" t="inlineStr">
        <is>
          <t xml:space="preserve">Eligibles au CET1 </t>
        </is>
      </c>
      <c r="C43" s="146" t="n"/>
      <c r="D43" s="920" t="inlineStr">
        <is>
          <t>(f)</t>
        </is>
      </c>
    </row>
    <row r="44" ht="22.5" customFormat="1" customHeight="1" s="50">
      <c r="A44" s="51" t="inlineStr">
        <is>
          <t>PA160</t>
        </is>
      </c>
      <c r="B44" s="51" t="inlineStr">
        <is>
          <t>Eligibles au AT1</t>
        </is>
      </c>
      <c r="C44" s="146" t="n"/>
      <c r="D44" s="920" t="inlineStr">
        <is>
          <t>(g)</t>
        </is>
      </c>
    </row>
    <row r="45" ht="22.5" customFormat="1" customHeight="1" s="50">
      <c r="A45" s="51" t="inlineStr">
        <is>
          <t>PA161</t>
        </is>
      </c>
      <c r="B45" s="51" t="inlineStr">
        <is>
          <t>Eligibles au T2</t>
        </is>
      </c>
      <c r="C45" s="146" t="n"/>
      <c r="D45" s="920" t="inlineStr">
        <is>
          <t>(h)</t>
        </is>
      </c>
    </row>
    <row r="46" ht="22.5" customFormat="1" customHeight="1" s="50">
      <c r="A46" s="51" t="inlineStr">
        <is>
          <t>FPC14</t>
        </is>
      </c>
      <c r="B46" s="51" t="inlineStr">
        <is>
          <t>Total des fonds propres CET1 ajustés avant déductions liées à des seuils</t>
        </is>
      </c>
      <c r="C46" s="146" t="n"/>
      <c r="D46" s="920" t="inlineStr">
        <is>
          <t>(i)</t>
        </is>
      </c>
    </row>
    <row r="47" ht="22.5" customFormat="1" customHeight="1" s="50">
      <c r="A47" s="51" t="inlineStr">
        <is>
          <t>PA162</t>
        </is>
      </c>
      <c r="B47" s="51" t="inlineStr">
        <is>
          <t xml:space="preserve">Participations non significatives à déduire des fonds propres ; dont </t>
        </is>
      </c>
      <c r="C47" s="146" t="n"/>
      <c r="D47" s="920" t="inlineStr">
        <is>
          <t>(j)=max[0; (d-0,1*i)]</t>
        </is>
      </c>
    </row>
    <row r="48" ht="22.5" customFormat="1" customHeight="1" s="50">
      <c r="A48" s="51" t="inlineStr">
        <is>
          <t>PA163</t>
        </is>
      </c>
      <c r="B48" s="51" t="inlineStr">
        <is>
          <t xml:space="preserve">           (-) Déduction affectée au CET1</t>
        </is>
      </c>
      <c r="C48" s="146" t="n"/>
      <c r="D48" s="920" t="inlineStr">
        <is>
          <t>(k)=j*(f/d)</t>
        </is>
      </c>
    </row>
    <row r="49" ht="22.5" customFormat="1" customHeight="1" s="50">
      <c r="A49" s="51" t="inlineStr">
        <is>
          <t>PA164</t>
        </is>
      </c>
      <c r="B49" s="51" t="inlineStr">
        <is>
          <t xml:space="preserve">           (-) Déduction affectée au AT1</t>
        </is>
      </c>
      <c r="C49" s="146" t="n"/>
      <c r="D49" s="920" t="inlineStr">
        <is>
          <t>(l)=j*(g/d)</t>
        </is>
      </c>
    </row>
    <row r="50" ht="22.5" customFormat="1" customHeight="1" s="50">
      <c r="A50" s="51" t="inlineStr">
        <is>
          <t>PA165</t>
        </is>
      </c>
      <c r="B50" s="51" t="inlineStr">
        <is>
          <t xml:space="preserve">           (-) Déduction affectée au T2</t>
        </is>
      </c>
      <c r="C50" s="146" t="n"/>
      <c r="D50" s="920" t="inlineStr">
        <is>
          <t>(m)=j*(h/d)</t>
        </is>
      </c>
    </row>
    <row r="51" ht="22.5" customFormat="1" customHeight="1" s="50">
      <c r="A51" s="51" t="inlineStr">
        <is>
          <t>PA166</t>
        </is>
      </c>
      <c r="B51" s="51" t="inlineStr">
        <is>
          <t>Participations non significatives non déduites des fonds propres</t>
        </is>
      </c>
      <c r="C51" s="146" t="n"/>
      <c r="D51" s="920" t="inlineStr">
        <is>
          <t>(n)=d-j</t>
        </is>
      </c>
    </row>
    <row r="52" ht="27.75" customHeight="1" s="885">
      <c r="A52" s="141" t="n"/>
      <c r="B52" s="142" t="inlineStr">
        <is>
          <t xml:space="preserve">C.4. Participations significatives </t>
        </is>
      </c>
      <c r="C52" s="143" t="n"/>
      <c r="D52" s="161" t="n"/>
    </row>
    <row r="53" ht="22.5" customFormat="1" customHeight="1" s="50">
      <c r="A53" s="51" t="inlineStr">
        <is>
          <t>PA167</t>
        </is>
      </c>
      <c r="B53" s="51" t="inlineStr">
        <is>
          <t>Eligibles au CET1 et qui sont des actions ordinaires</t>
        </is>
      </c>
      <c r="C53" s="146" t="n"/>
      <c r="D53" s="920" t="inlineStr">
        <is>
          <t>(o)</t>
        </is>
      </c>
    </row>
    <row r="54" ht="22.5" customFormat="1" customHeight="1" s="50">
      <c r="A54" s="51" t="inlineStr">
        <is>
          <t>PA168</t>
        </is>
      </c>
      <c r="B54" s="51" t="inlineStr">
        <is>
          <t>Eligibles au CET1 et qui ne sont pas des actions ordinaires</t>
        </is>
      </c>
      <c r="C54" s="146" t="n"/>
      <c r="D54" s="920" t="inlineStr">
        <is>
          <t>(p)</t>
        </is>
      </c>
    </row>
    <row r="55" ht="22.5" customFormat="1" customHeight="1" s="50">
      <c r="A55" s="51" t="inlineStr">
        <is>
          <t>PA169</t>
        </is>
      </c>
      <c r="B55" s="51" t="inlineStr">
        <is>
          <t>Eligibles au AT1</t>
        </is>
      </c>
      <c r="C55" s="146" t="n"/>
      <c r="D55" s="920" t="inlineStr">
        <is>
          <t>(q)</t>
        </is>
      </c>
    </row>
    <row r="56" ht="22.5" customFormat="1" customHeight="1" s="50">
      <c r="A56" s="51" t="inlineStr">
        <is>
          <t>PA170</t>
        </is>
      </c>
      <c r="B56" s="51" t="inlineStr">
        <is>
          <t>Eligibles au T2</t>
        </is>
      </c>
      <c r="C56" s="146" t="n"/>
      <c r="D56" s="920" t="inlineStr">
        <is>
          <t>(r)</t>
        </is>
      </c>
    </row>
    <row r="57" ht="54.75" customFormat="1" customHeight="1" s="50">
      <c r="A57" s="51" t="inlineStr">
        <is>
          <t>FPC15</t>
        </is>
      </c>
      <c r="B57" s="51" t="inlineStr">
        <is>
          <t>Total des fonds propres CET1 ajustés des déductions liées aux participations non significatives</t>
        </is>
      </c>
      <c r="C57" s="146" t="n"/>
      <c r="D57" s="920" t="inlineStr">
        <is>
          <t>(s)</t>
        </is>
      </c>
    </row>
    <row r="58" ht="22.5" customFormat="1" customHeight="1" s="50">
      <c r="A58" s="51" t="inlineStr">
        <is>
          <t>PA171</t>
        </is>
      </c>
      <c r="B58" s="51" t="inlineStr">
        <is>
          <t xml:space="preserve">Participations significatives à déduire des fonds propres ; dont </t>
        </is>
      </c>
      <c r="C58" s="146" t="n"/>
      <c r="D58" s="920" t="inlineStr">
        <is>
          <t>(t)=u+v+w+x</t>
        </is>
      </c>
    </row>
    <row r="59" ht="22.5" customFormat="1" customHeight="1" s="50">
      <c r="A59" s="163" t="inlineStr">
        <is>
          <t>PA172</t>
        </is>
      </c>
      <c r="B59" s="51" t="inlineStr">
        <is>
          <t xml:space="preserve">           (-) Déduction affectée au CET1 qui sont des actions ordinaires</t>
        </is>
      </c>
      <c r="C59" s="146" t="n"/>
      <c r="D59" s="920" t="inlineStr">
        <is>
          <t>(u)=max[0; (o-0,1*s)]</t>
        </is>
      </c>
    </row>
    <row r="60" ht="22.5" customFormat="1" customHeight="1" s="50">
      <c r="A60" s="163" t="inlineStr">
        <is>
          <t>PA173</t>
        </is>
      </c>
      <c r="B60" s="51" t="inlineStr">
        <is>
          <t xml:space="preserve">           (-) Déduction affectée au CET1 qui ne sont pas des actions ordinaires</t>
        </is>
      </c>
      <c r="C60" s="146" t="n"/>
      <c r="D60" s="920" t="inlineStr">
        <is>
          <t>(v)=p</t>
        </is>
      </c>
    </row>
    <row r="61" ht="22.5" customFormat="1" customHeight="1" s="50">
      <c r="A61" s="163" t="inlineStr">
        <is>
          <t>PA174</t>
        </is>
      </c>
      <c r="B61" s="51" t="inlineStr">
        <is>
          <t xml:space="preserve">           (-) Déduction affectée au AT1</t>
        </is>
      </c>
      <c r="C61" s="146" t="n"/>
      <c r="D61" s="920" t="inlineStr">
        <is>
          <t>(w)=q</t>
        </is>
      </c>
    </row>
    <row r="62" ht="22.5" customFormat="1" customHeight="1" s="50">
      <c r="A62" s="163" t="inlineStr">
        <is>
          <t>PA175</t>
        </is>
      </c>
      <c r="B62" s="51" t="inlineStr">
        <is>
          <t xml:space="preserve">           (-) Déduction affectée au T2</t>
        </is>
      </c>
      <c r="C62" s="146" t="n"/>
      <c r="D62" s="922" t="inlineStr">
        <is>
          <t>(x)=r</t>
        </is>
      </c>
    </row>
    <row r="63" ht="27.75" customHeight="1" s="885">
      <c r="A63" s="141" t="n"/>
      <c r="B63" s="142" t="inlineStr">
        <is>
          <t>C.5. Déductions liées au seuil de 15%</t>
        </is>
      </c>
      <c r="C63" s="143" t="n"/>
      <c r="D63" s="161" t="n"/>
    </row>
    <row r="64" ht="54.75" customHeight="1" s="885">
      <c r="A64" s="145" t="inlineStr">
        <is>
          <t>ID010</t>
        </is>
      </c>
      <c r="B64" s="51" t="inlineStr">
        <is>
          <t xml:space="preserve">Impôt différé actif qui dépend de la rentabilité future de l'établissement et découlant des différences temporaires (net au prorata de l'impôt différé passif) </t>
        </is>
      </c>
      <c r="C64" s="146" t="n"/>
      <c r="D64" s="922" t="inlineStr">
        <is>
          <t>(y)</t>
        </is>
      </c>
    </row>
    <row r="65" ht="59.25" customHeight="1" s="885">
      <c r="A65" s="145" t="inlineStr">
        <is>
          <t>ID011</t>
        </is>
      </c>
      <c r="B65" s="51" t="inlineStr">
        <is>
          <t>Impôt différé actif qui dépend de la rentabilité future de l'établissement et découlant des différences temporaires (net au prorata de l'impôt différé passif) déduits des fonds propres</t>
        </is>
      </c>
      <c r="C65" s="146" t="n"/>
      <c r="D65" s="922" t="inlineStr">
        <is>
          <t>(z)= max[0; (y-0,1*s)]</t>
        </is>
      </c>
    </row>
    <row r="66" ht="60.75" customHeight="1" s="885">
      <c r="A66" s="145" t="inlineStr">
        <is>
          <t>ID012</t>
        </is>
      </c>
      <c r="B66" s="51" t="inlineStr">
        <is>
          <t>Impôt différé actif qui dépend de la rentabilité future de l'établissement et découlant des différences temporaires (net au prorata de l'impôt différé passif) non déduits des fonds propres</t>
        </is>
      </c>
      <c r="C66" s="146" t="n"/>
      <c r="D66" s="922" t="inlineStr">
        <is>
          <t>(aa)=y-z</t>
        </is>
      </c>
    </row>
    <row r="67" ht="27.75" customHeight="1" s="885">
      <c r="A67" s="51" t="inlineStr">
        <is>
          <t>PA176</t>
        </is>
      </c>
      <c r="B67" s="51" t="inlineStr">
        <is>
          <t>Participations significatives non déduites des fonds propres</t>
        </is>
      </c>
      <c r="C67" s="146" t="n"/>
      <c r="D67" s="922" t="inlineStr">
        <is>
          <t>(ab)=e-t</t>
        </is>
      </c>
    </row>
    <row r="68" ht="27.75" customHeight="1" s="885">
      <c r="A68" s="51" t="inlineStr">
        <is>
          <t>FPC17</t>
        </is>
      </c>
      <c r="B68" s="51" t="inlineStr">
        <is>
          <t>Eléments spécifiés</t>
        </is>
      </c>
      <c r="C68" s="146" t="n"/>
      <c r="D68" s="922" t="inlineStr">
        <is>
          <t>(ac)=aa+ab</t>
        </is>
      </c>
    </row>
    <row r="69" ht="59.25" customHeight="1" s="885">
      <c r="A69" s="51" t="inlineStr">
        <is>
          <t>FPC16</t>
        </is>
      </c>
      <c r="B69" s="51" t="inlineStr">
        <is>
          <t>Total des fonds propres CET1 ajustés des déductions individuelles liées aux participations significatives et aux impôts différés actifs résultant de différences temporaires</t>
        </is>
      </c>
      <c r="C69" s="146" t="n"/>
      <c r="D69" s="922" t="inlineStr">
        <is>
          <t>(ad)</t>
        </is>
      </c>
    </row>
    <row r="70" ht="54.75" customHeight="1" s="885">
      <c r="A70" s="51" t="inlineStr">
        <is>
          <t>FPC18</t>
        </is>
      </c>
      <c r="B70" s="51" t="inlineStr">
        <is>
          <t>Montant maximal des éléments spécifiés pouvant être comptabilisé (seuil de 15 %)</t>
        </is>
      </c>
      <c r="C70" s="146" t="n"/>
      <c r="D70" s="922" t="inlineStr">
        <is>
          <t>(ae)=(ad-ac)*17,65%</t>
        </is>
      </c>
    </row>
    <row r="71" ht="54.75" customHeight="1" s="885">
      <c r="A71" s="51" t="inlineStr">
        <is>
          <t>FPC19</t>
        </is>
      </c>
      <c r="B71" s="51" t="inlineStr">
        <is>
          <t xml:space="preserve">Montant dépassant le seuil de 15 % </t>
        </is>
      </c>
      <c r="C71" s="146" t="n"/>
      <c r="D71" s="740" t="inlineStr">
        <is>
          <t xml:space="preserve">(af)=ac-ae     </t>
        </is>
      </c>
    </row>
    <row r="72" ht="22.5" customHeight="1" s="885">
      <c r="A72" s="51" t="inlineStr">
        <is>
          <t>FPC20</t>
        </is>
      </c>
      <c r="B72" s="51" t="inlineStr">
        <is>
          <t>(-) Montant dépassant le seuil de 15 % à déduire</t>
        </is>
      </c>
      <c r="C72" s="146" t="n"/>
      <c r="D72" s="740" t="inlineStr">
        <is>
          <t xml:space="preserve">(ag)=max[0; af]       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OIjol8VtWg7/I6xDHpXLg==" formatRows="1" sort="1" spinCount="100000" hashValue="+oKFblMmhMPMXgD0uxnusijzcPXat4bLrX+8aJuMybrgBuFvCokQsuppgz7rIH+bNjKoCi9q+7nS2M6HDHMABw=="/>
  <mergeCells count="3">
    <mergeCell ref="A1:C1"/>
    <mergeCell ref="A9:C9"/>
    <mergeCell ref="D28:D29"/>
  </mergeCells>
  <pageMargins left="0.708333333333333" right="0.708333333333333" top="0.747916666666667" bottom="0.747916666666667" header="0.511811023622047" footer="0.315277777777778"/>
  <pageSetup orientation="portrait" paperSize="9" scale="56" horizontalDpi="300" verticalDpi="300"/>
  <headerFooter>
    <oddHeader/>
    <oddFooter>&amp;R&amp;P</oddFooter>
    <evenHeader/>
    <evenFooter/>
    <firstHeader/>
    <firstFooter/>
  </headerFooter>
  <rowBreaks count="1" manualBreakCount="1">
    <brk id="41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view="pageBreakPreview" topLeftCell="A32" zoomScale="70" zoomScaleNormal="70" zoomScaleSheetLayoutView="70" workbookViewId="0">
      <selection activeCell="C10" sqref="C10"/>
    </sheetView>
  </sheetViews>
  <sheetFormatPr baseColWidth="10" defaultColWidth="10" defaultRowHeight="27.75" customHeight="1"/>
  <cols>
    <col collapsed="1" width="11.08984375" customWidth="1" style="782" min="1" max="1"/>
    <col collapsed="1" width="122.90625" customWidth="1" style="782" min="2" max="2"/>
    <col collapsed="1" width="19.81640625" customWidth="1" style="40" min="3" max="4"/>
    <col collapsed="1" width="10" customWidth="1" style="782" min="5" max="16384"/>
  </cols>
  <sheetData>
    <row r="1" ht="45" customHeight="1" s="885">
      <c r="A1" s="735" t="inlineStr">
        <is>
          <t>DISPOSITIONS TRANSITOIRES SUR BASE CONSOLIDEE : RECLASSEMENT ET RETRAIT PROGRESSIF DES ELEMENTS DE FONDS PROPRES NON ADMISSIBLES</t>
        </is>
      </c>
      <c r="B1" s="886" t="n"/>
      <c r="C1" s="886" t="n"/>
      <c r="D1" s="166" t="inlineStr">
        <is>
          <t>EP06</t>
        </is>
      </c>
    </row>
    <row r="2" ht="31.5" customHeight="1" s="885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8" customHeight="1" s="885"/>
    <row r="8" ht="27.75" customHeight="1" s="885">
      <c r="A8" s="784" t="n"/>
      <c r="B8" s="784" t="n"/>
      <c r="C8" s="168" t="n"/>
    </row>
    <row r="9" ht="40.5" customFormat="1" customHeight="1" s="923">
      <c r="A9" s="766" t="inlineStr">
        <is>
          <t>Code DISPRU</t>
        </is>
      </c>
      <c r="B9" s="721" t="inlineStr">
        <is>
          <t>Poste</t>
        </is>
      </c>
      <c r="C9" s="721" t="inlineStr">
        <is>
          <t>Montant</t>
        </is>
      </c>
      <c r="D9" s="766" t="inlineStr">
        <is>
          <t>Formules de calcul</t>
        </is>
      </c>
    </row>
    <row r="10" ht="43.5" customFormat="1" customHeight="1" s="924">
      <c r="A10" s="925" t="inlineStr">
        <is>
          <t>DT001</t>
        </is>
      </c>
      <c r="B10" s="916" t="inlineStr">
        <is>
          <t>Taux de retrait des éléments de fonds propres non admissibles comptabilisés dans les fonds propres pendant la période de transition</t>
        </is>
      </c>
      <c r="C10" s="922" t="n">
        <v>0.9</v>
      </c>
      <c r="D10" s="171" t="inlineStr">
        <is>
          <t>(a)</t>
        </is>
      </c>
    </row>
    <row r="11" ht="15.75" customFormat="1" customHeight="1" s="926">
      <c r="A11" s="927" t="n"/>
      <c r="B11" s="928" t="n"/>
      <c r="C11" s="928" t="n"/>
      <c r="D11" s="929" t="n"/>
    </row>
    <row r="12" ht="36.75" customFormat="1" customHeight="1" s="924">
      <c r="A12" s="930" t="n"/>
      <c r="B12" s="931" t="inlineStr">
        <is>
          <t>A. Retrait progressif des instruments de fonds propres de base durs (CET1) non admissibles</t>
        </is>
      </c>
      <c r="C12" s="176" t="n"/>
      <c r="D12" s="162" t="n"/>
    </row>
    <row r="13" ht="36.75" customFormat="1" customHeight="1" s="924">
      <c r="A13" s="155" t="inlineStr">
        <is>
          <t>FPC01</t>
        </is>
      </c>
      <c r="B13" s="932" t="inlineStr">
        <is>
          <t>Capital social dont ;</t>
        </is>
      </c>
      <c r="C13" s="156" t="n"/>
      <c r="D13" s="933" t="inlineStr">
        <is>
          <t>(b)</t>
        </is>
      </c>
    </row>
    <row r="14" ht="36.75" customFormat="1" customHeight="1" s="924">
      <c r="A14" s="925" t="inlineStr">
        <is>
          <t>DT002</t>
        </is>
      </c>
      <c r="B14" s="916" t="inlineStr">
        <is>
          <t>Part du capital social non admissibles comme  éléments de CET1 au 1er janvier 2018 et les primes d'émission y relatives</t>
        </is>
      </c>
      <c r="C14" s="146" t="n"/>
      <c r="D14" s="171" t="inlineStr">
        <is>
          <t>(c)</t>
        </is>
      </c>
    </row>
    <row r="15" ht="45" customFormat="1" customHeight="1" s="926">
      <c r="A15" s="925" t="inlineStr">
        <is>
          <t>INT29</t>
        </is>
      </c>
      <c r="B15" s="916" t="inlineStr">
        <is>
          <t>Instruments de fonds propres de base durs  émis par des filiales consolidées à des tiers en circulation au 1er janvier 2018 et non admissibles comme  éléments de CET1</t>
        </is>
      </c>
      <c r="C15" s="180" t="n"/>
      <c r="D15" s="922" t="inlineStr">
        <is>
          <t>(d)</t>
        </is>
      </c>
    </row>
    <row r="16" ht="36.75" customFormat="1" customHeight="1" s="924">
      <c r="A16" s="925" t="inlineStr">
        <is>
          <t>DT003</t>
        </is>
      </c>
      <c r="B16" s="916" t="inlineStr">
        <is>
          <t>Provisions réglementées</t>
        </is>
      </c>
      <c r="C16" s="146" t="n"/>
      <c r="D16" s="171" t="inlineStr">
        <is>
          <t>(e)</t>
        </is>
      </c>
    </row>
    <row r="17" ht="36.75" customFormat="1" customHeight="1" s="924">
      <c r="A17" s="925" t="inlineStr">
        <is>
          <t>DT004</t>
        </is>
      </c>
      <c r="B17" s="916" t="inlineStr">
        <is>
          <t>Fonds affectés</t>
        </is>
      </c>
      <c r="C17" s="146" t="n"/>
      <c r="D17" s="171" t="inlineStr">
        <is>
          <t>(f)</t>
        </is>
      </c>
    </row>
    <row r="18" ht="36.75" customFormat="1" customHeight="1" s="924">
      <c r="A18" s="925" t="inlineStr">
        <is>
          <t>DT005</t>
        </is>
      </c>
      <c r="B18" s="916" t="inlineStr">
        <is>
          <t>Total des éléments de CET1 non admissibles au 1er janvier 2018</t>
        </is>
      </c>
      <c r="C18" s="146" t="n"/>
      <c r="D18" s="922" t="inlineStr">
        <is>
          <t>g=c+d+e+f</t>
        </is>
      </c>
    </row>
    <row r="19" ht="36.75" customFormat="1" customHeight="1" s="924">
      <c r="A19" s="925" t="inlineStr">
        <is>
          <t>DT006</t>
        </is>
      </c>
      <c r="B19" s="916" t="inlineStr">
        <is>
          <t>Montant maximal des éléments de CET1 non admissibles qui peut être inclus dans les fonds propres</t>
        </is>
      </c>
      <c r="C19" s="146" t="n"/>
      <c r="D19" s="171" t="inlineStr">
        <is>
          <t>h=gxa</t>
        </is>
      </c>
    </row>
    <row r="20" ht="36.75" customFormat="1" customHeight="1" s="924">
      <c r="A20" s="925" t="inlineStr">
        <is>
          <t>DT007</t>
        </is>
      </c>
      <c r="B20" s="916" t="inlineStr">
        <is>
          <t>Montant réel des éléments de CET1 non admissibles en circulation à la date de déclaration</t>
        </is>
      </c>
      <c r="C20" s="146" t="n"/>
      <c r="D20" s="922" t="inlineStr">
        <is>
          <t>(i)</t>
        </is>
      </c>
    </row>
    <row r="21" ht="51.75" customFormat="1" customHeight="1" s="926">
      <c r="A21" s="112" t="inlineStr">
        <is>
          <t>FPC07</t>
        </is>
      </c>
      <c r="B21" s="934" t="inlineStr">
        <is>
          <t>Eléments de CET1 non admissibles au 1er janvier 2018 et inclus dans le CET1 selon les dispositions transitoires</t>
        </is>
      </c>
      <c r="C21" s="180" t="n"/>
      <c r="D21" s="833" t="inlineStr">
        <is>
          <t>j=min(h;i)</t>
        </is>
      </c>
    </row>
    <row r="22" ht="51.75" customFormat="1" customHeight="1" s="926">
      <c r="A22" s="112" t="inlineStr">
        <is>
          <t>FPC25</t>
        </is>
      </c>
      <c r="B22" s="934" t="inlineStr">
        <is>
          <t>Instruments de CET1 non admissibles au 1er janvier 2018 et éligibles dans les fonds propres de base additionnels (AT1)</t>
        </is>
      </c>
      <c r="C22" s="146" t="n"/>
      <c r="D22" s="833" t="n"/>
    </row>
    <row r="23" ht="36.75" customFormat="1" customHeight="1" s="924">
      <c r="A23" s="925" t="inlineStr">
        <is>
          <t>DT008</t>
        </is>
      </c>
      <c r="B23" s="916" t="inlineStr">
        <is>
          <t>Eléments de CET1 non admissibles au 1er janvier 2018 et éligibles dans les fonds propres complémentaires (T2) dont ;</t>
        </is>
      </c>
      <c r="C23" s="146" t="n"/>
      <c r="D23" s="171" t="n"/>
    </row>
    <row r="24" ht="45" customFormat="1" customHeight="1" s="926">
      <c r="A24" s="112" t="inlineStr">
        <is>
          <t>FPC33</t>
        </is>
      </c>
      <c r="B24" s="934" t="inlineStr">
        <is>
          <t xml:space="preserve">           Autres instruments de CET1 non admissibles au 1er janvier 2018 et éligibles dans les fonds propres   
           complémentaires (T2)</t>
        </is>
      </c>
      <c r="C24" s="180" t="n"/>
      <c r="D24" s="833" t="n"/>
    </row>
    <row r="25" ht="36.75" customFormat="1" customHeight="1" s="926">
      <c r="A25" s="112" t="inlineStr">
        <is>
          <t>FPC35</t>
        </is>
      </c>
      <c r="B25" s="934" t="inlineStr">
        <is>
          <t xml:space="preserve">           Provisions réglementées</t>
        </is>
      </c>
      <c r="C25" s="180" t="n"/>
      <c r="D25" s="833" t="n"/>
    </row>
    <row r="26" ht="36.75" customFormat="1" customHeight="1" s="926">
      <c r="A26" s="112" t="inlineStr">
        <is>
          <t>FPC36</t>
        </is>
      </c>
      <c r="B26" s="934" t="inlineStr">
        <is>
          <t xml:space="preserve">           Fonds affectés</t>
        </is>
      </c>
      <c r="C26" s="180" t="n"/>
      <c r="D26" s="935" t="n"/>
    </row>
    <row r="27" ht="36.75" customFormat="1" customHeight="1" s="924">
      <c r="A27" s="925" t="inlineStr">
        <is>
          <t>DT009</t>
        </is>
      </c>
      <c r="B27" s="916" t="inlineStr">
        <is>
          <t>Eléments de CET1 non admissibles au 1er janvier 2018 et exclus des fonds propres.</t>
        </is>
      </c>
      <c r="C27" s="146" t="n"/>
      <c r="D27" s="162" t="n"/>
    </row>
    <row r="28" ht="15.75" customFormat="1" customHeight="1" s="926">
      <c r="A28" s="927" t="n"/>
      <c r="B28" s="928" t="n"/>
      <c r="C28" s="928" t="n"/>
      <c r="D28" s="929" t="n"/>
    </row>
    <row r="29" ht="36.75" customFormat="1" customHeight="1" s="924">
      <c r="A29" s="930" t="n"/>
      <c r="B29" s="931" t="inlineStr">
        <is>
          <t>B. Retrait progressif des éléments de fonds propres complémentaires (T2) non admissibles</t>
        </is>
      </c>
      <c r="C29" s="176" t="n"/>
      <c r="D29" s="162" t="n"/>
    </row>
    <row r="30" ht="36.75" customFormat="1" customHeight="1" s="926">
      <c r="A30" s="925" t="inlineStr">
        <is>
          <t>DT010</t>
        </is>
      </c>
      <c r="B30" s="916" t="inlineStr">
        <is>
          <t>Emprunts subordonnés en circulation au 1er janvier 2018* dont ;</t>
        </is>
      </c>
      <c r="C30" s="180" t="n"/>
      <c r="D30" s="922" t="inlineStr">
        <is>
          <t>(k)</t>
        </is>
      </c>
    </row>
    <row r="31" ht="45" customFormat="1" customHeight="1" s="926">
      <c r="A31" s="925" t="inlineStr">
        <is>
          <t>DT011</t>
        </is>
      </c>
      <c r="B31" s="916" t="inlineStr">
        <is>
          <t>Part des emprunts subordonnés en circulation au 1er janvier 2018* non admissibles comme  élément de fonds propres complémentaires (T2)</t>
        </is>
      </c>
      <c r="C31" s="180" t="n"/>
      <c r="D31" s="922" t="inlineStr">
        <is>
          <t>(l)</t>
        </is>
      </c>
    </row>
    <row r="32" ht="45" customFormat="1" customHeight="1" s="926">
      <c r="A32" s="925" t="inlineStr">
        <is>
          <t>INT30</t>
        </is>
      </c>
      <c r="B32" s="916" t="inlineStr">
        <is>
          <t>Emprunts subordonnés  émis par des filiales consolidées à des tiers en circulation au 1er janvier 2018 et non admissibles comme  fonds propres T2</t>
        </is>
      </c>
      <c r="C32" s="180" t="n"/>
      <c r="D32" s="922" t="inlineStr">
        <is>
          <t>(m)</t>
        </is>
      </c>
    </row>
    <row r="33" ht="36.75" customFormat="1" customHeight="1" s="926">
      <c r="A33" s="925" t="inlineStr">
        <is>
          <t>DT012</t>
        </is>
      </c>
      <c r="B33" s="916" t="inlineStr">
        <is>
          <t xml:space="preserve">
Ecarts de réévaluation
</t>
        </is>
      </c>
      <c r="C33" s="180" t="n"/>
      <c r="D33" s="171" t="inlineStr">
        <is>
          <t>(n)</t>
        </is>
      </c>
    </row>
    <row r="34" ht="36.75" customFormat="1" customHeight="1" s="924">
      <c r="A34" s="925" t="inlineStr">
        <is>
          <t>DT013</t>
        </is>
      </c>
      <c r="B34" s="916" t="inlineStr">
        <is>
          <t>Autres éléments de fonds propres complémentaires (T2) non admissibles au 1er janvier 2018</t>
        </is>
      </c>
      <c r="C34" s="180" t="n"/>
      <c r="D34" s="171" t="inlineStr">
        <is>
          <t>(o)</t>
        </is>
      </c>
    </row>
    <row r="35" ht="36.75" customFormat="1" customHeight="1" s="926">
      <c r="A35" s="925" t="inlineStr">
        <is>
          <t>DT014</t>
        </is>
      </c>
      <c r="B35" s="916" t="inlineStr">
        <is>
          <t>Total des éléments de fonds propres complémentaires (T2) non admissibles au 1er janvier 2018</t>
        </is>
      </c>
      <c r="C35" s="180" t="n"/>
      <c r="D35" s="922" t="inlineStr">
        <is>
          <t>(p)=l+m+n+o</t>
        </is>
      </c>
    </row>
    <row r="36" ht="45" customFormat="1" customHeight="1" s="924">
      <c r="A36" s="925" t="inlineStr">
        <is>
          <t>DT015</t>
        </is>
      </c>
      <c r="B36" s="916" t="inlineStr">
        <is>
          <t>Montant maximal éléments de fonds propres complémentaires (T2) non admissibles qui peut être inclus dans les fonds propres</t>
        </is>
      </c>
      <c r="C36" s="180" t="n"/>
      <c r="D36" s="171" t="inlineStr">
        <is>
          <t>(q)=pxa</t>
        </is>
      </c>
    </row>
    <row r="37" ht="45" customFormat="1" customHeight="1" s="926">
      <c r="A37" s="925" t="inlineStr">
        <is>
          <t>DT016</t>
        </is>
      </c>
      <c r="B37" s="916" t="inlineStr">
        <is>
          <t>Montant réel des éléments de fonds propres complémentaires (T2) non admissibles en circulation à la date de déclaration**</t>
        </is>
      </c>
      <c r="C37" s="180" t="n"/>
      <c r="D37" s="922" t="inlineStr">
        <is>
          <t>(r)</t>
        </is>
      </c>
    </row>
    <row r="38" ht="45" customFormat="1" customHeight="1" s="926">
      <c r="A38" s="112" t="inlineStr">
        <is>
          <t>FPC34</t>
        </is>
      </c>
      <c r="B38" s="934" t="inlineStr">
        <is>
          <t>Eléments de fonds propres complémentaires (T2) non admissibles au 1er janvier 2018 et inclus dans les fonds propres</t>
        </is>
      </c>
      <c r="C38" s="180" t="n"/>
      <c r="D38" s="833" t="inlineStr">
        <is>
          <t>s=min(q,r)</t>
        </is>
      </c>
    </row>
    <row r="39" ht="15.75" customFormat="1" customHeight="1" s="926">
      <c r="A39" s="936" t="n"/>
      <c r="B39" s="928" t="n"/>
      <c r="C39" s="928" t="n"/>
      <c r="D39" s="928" t="n"/>
    </row>
    <row r="40" ht="23.25" customFormat="1" customHeight="1" s="924">
      <c r="A40" s="937" t="inlineStr">
        <is>
          <t>* après amortissement, s'il y a lieu, jusqu'au 1er janvier 2018</t>
        </is>
      </c>
      <c r="B40" s="886" t="n"/>
      <c r="C40" s="938" t="n"/>
      <c r="D40" s="183" t="n"/>
    </row>
    <row r="41" ht="23.25" customFormat="1" customHeight="1" s="926">
      <c r="A41" s="937" t="inlineStr">
        <is>
          <t>** après amortissement, s'il y a lieu, jusqu'à la date de déclaration</t>
        </is>
      </c>
      <c r="B41" s="886" t="n"/>
      <c r="C41" s="923" t="n"/>
      <c r="D41" s="93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6kbCO9aylsY3TzwhKtqsQ==" formatRows="1" sort="1" spinCount="100000" hashValue="aN66jR9JDKlU+DnIPHvmfpBgwbhMlo1LPGSYRjBrfnkl/q2x2teRE1nQ2/bgPiG/+XXlffhbsa4bOz+PCGwznw=="/>
  <mergeCells count="6">
    <mergeCell ref="A1:C1"/>
    <mergeCell ref="A41:B41"/>
    <mergeCell ref="A39:D39"/>
    <mergeCell ref="A11:D11"/>
    <mergeCell ref="A28:D28"/>
    <mergeCell ref="A40:B40"/>
  </mergeCells>
  <pageMargins left="0.708333333333333" right="0.708333333333333" top="0.747916666666667" bottom="0.747916666666667" header="0.511811023622047" footer="0.315277777777778"/>
  <pageSetup orientation="portrait" paperSize="9" scale="44" horizontalDpi="300" verticalDpi="300"/>
  <headerFooter>
    <oddHeader/>
    <oddFooter>&amp;R&amp;P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49"/>
  <sheetViews>
    <sheetView view="pageBreakPreview" topLeftCell="A4" zoomScale="40" zoomScaleNormal="40" zoomScaleSheetLayoutView="40" zoomScalePageLayoutView="50" workbookViewId="0">
      <selection activeCell="D52" sqref="D52"/>
    </sheetView>
  </sheetViews>
  <sheetFormatPr baseColWidth="10" defaultColWidth="10" defaultRowHeight="27.75" customHeight="1"/>
  <cols>
    <col collapsed="1" width="17.1796875" customWidth="1" style="191" min="1" max="1"/>
    <col collapsed="1" width="17.7265625" customWidth="1" style="192" min="2" max="2"/>
    <col collapsed="1" width="97.453125" customWidth="1" style="191" min="3" max="3"/>
    <col collapsed="1" width="10" customWidth="1" style="191" min="4" max="4"/>
    <col collapsed="1" width="15.26953125" customWidth="1" style="191" min="5" max="14"/>
    <col collapsed="1" width="15.6328125" customWidth="1" style="191" min="15" max="54"/>
    <col collapsed="1" width="10" customWidth="1" style="191" min="55" max="16384"/>
  </cols>
  <sheetData>
    <row r="1" ht="29.25" customHeight="1" s="885">
      <c r="A1" s="741" t="inlineStr">
        <is>
          <t>FONDS PROPRES ADMISSIBLES EMIS PAR DES FILIALES ET DETENUS PAR LES INTERETS MINORITAIRES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193" t="inlineStr">
        <is>
          <t>EP07</t>
        </is>
      </c>
    </row>
    <row r="2" ht="31.5" customHeight="1" s="885">
      <c r="B2" s="194" t="n"/>
      <c r="C2" s="194" t="n"/>
      <c r="D2" s="195" t="n"/>
      <c r="E2" s="940" t="n"/>
      <c r="F2" s="940" t="n"/>
      <c r="G2" s="940" t="n"/>
      <c r="H2" s="940" t="n"/>
      <c r="I2" s="940" t="n"/>
      <c r="J2" s="940" t="n"/>
      <c r="K2" s="940" t="n"/>
    </row>
    <row r="3" ht="22.5" customFormat="1" customHeight="1" s="197">
      <c r="B3" s="198" t="n"/>
      <c r="C3" s="199" t="n"/>
      <c r="D3" s="941" t="n"/>
      <c r="F3" s="941" t="n"/>
      <c r="G3" s="941" t="n"/>
      <c r="H3" s="941" t="n"/>
      <c r="I3" s="941" t="n"/>
      <c r="J3" s="941" t="n"/>
      <c r="K3" s="941" t="n"/>
    </row>
    <row r="4" ht="9.75" customFormat="1" customHeight="1" s="197">
      <c r="A4" s="199" t="n"/>
      <c r="B4" s="201" t="n"/>
      <c r="D4" s="941" t="n"/>
      <c r="F4" s="941" t="n"/>
      <c r="G4" s="941" t="n"/>
      <c r="H4" s="941" t="n"/>
      <c r="I4" s="941" t="n"/>
      <c r="J4" s="941" t="n"/>
      <c r="K4" s="941" t="n"/>
    </row>
    <row r="5" ht="22.5" customFormat="1" customHeight="1" s="197">
      <c r="A5" s="199" t="n"/>
      <c r="B5" s="201" t="n"/>
      <c r="D5" s="941" t="n"/>
      <c r="F5" s="941" t="n"/>
      <c r="G5" s="941" t="n"/>
      <c r="H5" s="941" t="n"/>
      <c r="I5" s="941" t="n"/>
      <c r="J5" s="941" t="n"/>
      <c r="K5" s="941" t="n"/>
    </row>
    <row r="6" ht="22.5" customFormat="1" customHeight="1" s="197">
      <c r="B6" s="201" t="n"/>
      <c r="D6" s="941" t="n"/>
      <c r="F6" s="941" t="n"/>
      <c r="G6" s="941" t="n"/>
      <c r="H6" s="941" t="n"/>
      <c r="I6" s="941" t="n"/>
      <c r="J6" s="941" t="n"/>
      <c r="K6" s="941" t="n"/>
    </row>
    <row r="7" ht="18" customHeight="1" s="885">
      <c r="B7" s="202" t="n"/>
      <c r="C7" s="203" t="n"/>
      <c r="D7" s="203" t="n"/>
      <c r="E7" s="203" t="n"/>
      <c r="F7" s="203" t="n"/>
      <c r="G7" s="203" t="n"/>
      <c r="H7" s="203" t="n"/>
      <c r="I7" s="203" t="n"/>
      <c r="J7" s="203" t="n"/>
      <c r="K7" s="203" t="n"/>
    </row>
    <row r="8" ht="45.75" customFormat="1" customHeight="1" s="208">
      <c r="A8" s="204" t="inlineStr">
        <is>
          <t>Code DISPRU</t>
        </is>
      </c>
      <c r="B8" s="205" t="inlineStr">
        <is>
          <t>Formules de calcul</t>
        </is>
      </c>
      <c r="C8" s="942" t="inlineStr">
        <is>
          <t>Poste</t>
        </is>
      </c>
      <c r="D8" s="943" t="inlineStr">
        <is>
          <t>Total</t>
        </is>
      </c>
      <c r="E8" s="942" t="inlineStr">
        <is>
          <t>Fil. 1</t>
        </is>
      </c>
      <c r="F8" s="942" t="inlineStr">
        <is>
          <t>Fil. 2</t>
        </is>
      </c>
      <c r="G8" s="942" t="inlineStr">
        <is>
          <t>Fil. 3</t>
        </is>
      </c>
      <c r="H8" s="942" t="inlineStr">
        <is>
          <t>Fil. 4</t>
        </is>
      </c>
      <c r="I8" s="942" t="inlineStr">
        <is>
          <t>Fil. 5</t>
        </is>
      </c>
      <c r="J8" s="942" t="inlineStr">
        <is>
          <t>Fil. 6</t>
        </is>
      </c>
      <c r="K8" s="942" t="inlineStr">
        <is>
          <t>Fil. 7</t>
        </is>
      </c>
      <c r="L8" s="942" t="inlineStr">
        <is>
          <t>Fil. 8</t>
        </is>
      </c>
      <c r="M8" s="942" t="inlineStr">
        <is>
          <t>Fil. 9</t>
        </is>
      </c>
      <c r="N8" s="942" t="inlineStr">
        <is>
          <t>Fil. 10</t>
        </is>
      </c>
      <c r="O8" s="942" t="inlineStr">
        <is>
          <t>Fil. 11</t>
        </is>
      </c>
      <c r="P8" s="942" t="inlineStr">
        <is>
          <t>Fil. 12</t>
        </is>
      </c>
      <c r="Q8" s="942" t="inlineStr">
        <is>
          <t>Fil. 13</t>
        </is>
      </c>
      <c r="R8" s="942" t="inlineStr">
        <is>
          <t>Fil. 14</t>
        </is>
      </c>
      <c r="S8" s="942" t="inlineStr">
        <is>
          <t>Fil. 15</t>
        </is>
      </c>
      <c r="T8" s="942" t="inlineStr">
        <is>
          <t>Fil. 16</t>
        </is>
      </c>
      <c r="U8" s="942" t="inlineStr">
        <is>
          <t>Fil. 17</t>
        </is>
      </c>
      <c r="V8" s="942" t="inlineStr">
        <is>
          <t>Fil. 18</t>
        </is>
      </c>
      <c r="W8" s="942" t="inlineStr">
        <is>
          <t>Fil. 19</t>
        </is>
      </c>
      <c r="X8" s="942" t="inlineStr">
        <is>
          <t>Fil. 20</t>
        </is>
      </c>
      <c r="Y8" s="942" t="inlineStr">
        <is>
          <t>Fil. 21</t>
        </is>
      </c>
      <c r="Z8" s="942" t="inlineStr">
        <is>
          <t>Fil. 22</t>
        </is>
      </c>
      <c r="AA8" s="942" t="inlineStr">
        <is>
          <t>Fil. 23</t>
        </is>
      </c>
      <c r="AB8" s="942" t="inlineStr">
        <is>
          <t>Fil. 24</t>
        </is>
      </c>
      <c r="AC8" s="942" t="inlineStr">
        <is>
          <t>Fil. 25</t>
        </is>
      </c>
      <c r="AD8" s="942" t="inlineStr">
        <is>
          <t>Fil. 26</t>
        </is>
      </c>
      <c r="AE8" s="942" t="inlineStr">
        <is>
          <t>Fil. 27</t>
        </is>
      </c>
      <c r="AF8" s="942" t="inlineStr">
        <is>
          <t>Fil. 28</t>
        </is>
      </c>
      <c r="AG8" s="942" t="inlineStr">
        <is>
          <t>Fil. 29</t>
        </is>
      </c>
      <c r="AH8" s="942" t="inlineStr">
        <is>
          <t>Fil. 30</t>
        </is>
      </c>
      <c r="AI8" s="942" t="inlineStr">
        <is>
          <t>Fil. 31</t>
        </is>
      </c>
      <c r="AJ8" s="942" t="inlineStr">
        <is>
          <t>Fil. 32</t>
        </is>
      </c>
      <c r="AK8" s="942" t="inlineStr">
        <is>
          <t>Fil. 33</t>
        </is>
      </c>
      <c r="AL8" s="942" t="inlineStr">
        <is>
          <t>Fil. 34</t>
        </is>
      </c>
      <c r="AM8" s="942" t="inlineStr">
        <is>
          <t>Fil. 35</t>
        </is>
      </c>
      <c r="AN8" s="942" t="inlineStr">
        <is>
          <t>Fil. 36</t>
        </is>
      </c>
      <c r="AO8" s="942" t="inlineStr">
        <is>
          <t>Fil. 37</t>
        </is>
      </c>
      <c r="AP8" s="942" t="inlineStr">
        <is>
          <t>Fil. 38</t>
        </is>
      </c>
      <c r="AQ8" s="942" t="inlineStr">
        <is>
          <t>Fil. 39</t>
        </is>
      </c>
      <c r="AR8" s="942" t="inlineStr">
        <is>
          <t>Fil. 40</t>
        </is>
      </c>
      <c r="AS8" s="942" t="inlineStr">
        <is>
          <t>Fil. 41</t>
        </is>
      </c>
      <c r="AT8" s="942" t="inlineStr">
        <is>
          <t>Fil. 42</t>
        </is>
      </c>
      <c r="AU8" s="942" t="inlineStr">
        <is>
          <t>Fil. 43</t>
        </is>
      </c>
      <c r="AV8" s="942" t="inlineStr">
        <is>
          <t>Fil. 44</t>
        </is>
      </c>
      <c r="AW8" s="942" t="inlineStr">
        <is>
          <t>Fil. 45</t>
        </is>
      </c>
      <c r="AX8" s="942" t="inlineStr">
        <is>
          <t>Fil. 46</t>
        </is>
      </c>
      <c r="AY8" s="942" t="inlineStr">
        <is>
          <t>Fil. 47</t>
        </is>
      </c>
      <c r="AZ8" s="942" t="inlineStr">
        <is>
          <t>Fil. 48</t>
        </is>
      </c>
      <c r="BA8" s="942" t="inlineStr">
        <is>
          <t>Fil. 49</t>
        </is>
      </c>
      <c r="BB8" s="942" t="inlineStr">
        <is>
          <t>Fil. 50</t>
        </is>
      </c>
    </row>
    <row r="9" ht="53.25" customHeight="1" s="885">
      <c r="A9" s="209" t="inlineStr">
        <is>
          <t>INT01</t>
        </is>
      </c>
      <c r="B9" s="944" t="inlineStr">
        <is>
          <t>(a)</t>
        </is>
      </c>
      <c r="C9" s="945" t="inlineStr">
        <is>
          <t>Total  des fonds propres de base durs (CET1) de la filiale, nets des déductions</t>
        </is>
      </c>
      <c r="D9" s="212" t="n"/>
      <c r="E9" s="213" t="n"/>
      <c r="F9" s="213" t="n"/>
      <c r="G9" s="213" t="n"/>
      <c r="H9" s="213" t="n"/>
      <c r="I9" s="213" t="n"/>
      <c r="J9" s="213" t="n"/>
      <c r="K9" s="213" t="n"/>
      <c r="L9" s="213" t="n"/>
      <c r="M9" s="213" t="n"/>
      <c r="N9" s="213" t="n"/>
      <c r="O9" s="213" t="n"/>
      <c r="P9" s="213" t="n"/>
      <c r="Q9" s="213" t="n"/>
      <c r="R9" s="213" t="n"/>
      <c r="S9" s="213" t="n"/>
      <c r="T9" s="213" t="n"/>
      <c r="U9" s="213" t="n"/>
      <c r="V9" s="213" t="n"/>
      <c r="W9" s="213" t="n"/>
      <c r="X9" s="213" t="n"/>
      <c r="Y9" s="213" t="n"/>
      <c r="Z9" s="213" t="n"/>
      <c r="AA9" s="213" t="n"/>
      <c r="AB9" s="213" t="n"/>
      <c r="AC9" s="213" t="n"/>
      <c r="AD9" s="213" t="n"/>
      <c r="AE9" s="213" t="n"/>
      <c r="AF9" s="213" t="n"/>
      <c r="AG9" s="213" t="n"/>
      <c r="AH9" s="213" t="n"/>
      <c r="AI9" s="213" t="n"/>
      <c r="AJ9" s="213" t="n"/>
      <c r="AK9" s="213" t="n"/>
      <c r="AL9" s="213" t="n"/>
      <c r="AM9" s="213" t="n"/>
      <c r="AN9" s="213" t="n"/>
      <c r="AO9" s="213" t="n"/>
      <c r="AP9" s="213" t="n"/>
      <c r="AQ9" s="213" t="n"/>
      <c r="AR9" s="213" t="n"/>
      <c r="AS9" s="213" t="n"/>
      <c r="AT9" s="213" t="n"/>
      <c r="AU9" s="213" t="n"/>
      <c r="AV9" s="213" t="n"/>
      <c r="AW9" s="213" t="n"/>
      <c r="AX9" s="213" t="n"/>
      <c r="AY9" s="213" t="n"/>
      <c r="AZ9" s="213" t="n"/>
      <c r="BA9" s="213" t="n"/>
      <c r="BB9" s="213" t="n"/>
    </row>
    <row r="10" ht="106.5" customHeight="1" s="885">
      <c r="A10" s="209" t="inlineStr">
        <is>
          <t>INT02</t>
        </is>
      </c>
      <c r="B10" s="946" t="inlineStr">
        <is>
          <t>(b)</t>
        </is>
      </c>
      <c r="C10" s="945" t="inlineStr">
        <is>
          <t>Total capital social libéré de la filiale satisfaisant aux critères d'inclusion dans le CET1, plus les réserves, le report à nouveau créditeur et le résultat bénéficiaire appartenant au groupe, avant toutes les déductions</t>
        </is>
      </c>
      <c r="D10" s="215" t="n"/>
      <c r="E10" s="213" t="n"/>
      <c r="F10" s="213" t="n"/>
      <c r="G10" s="213" t="n"/>
      <c r="H10" s="213" t="n"/>
      <c r="I10" s="213" t="n"/>
      <c r="J10" s="213" t="n"/>
      <c r="K10" s="213" t="n"/>
      <c r="L10" s="213" t="n"/>
      <c r="M10" s="213" t="n"/>
      <c r="N10" s="213" t="n"/>
      <c r="O10" s="213" t="n"/>
      <c r="P10" s="213" t="n"/>
      <c r="Q10" s="213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  <c r="AA10" s="213" t="n"/>
      <c r="AB10" s="213" t="n"/>
      <c r="AC10" s="213" t="n"/>
      <c r="AD10" s="213" t="n"/>
      <c r="AE10" s="213" t="n"/>
      <c r="AF10" s="213" t="n"/>
      <c r="AG10" s="213" t="n"/>
      <c r="AH10" s="213" t="n"/>
      <c r="AI10" s="213" t="n"/>
      <c r="AJ10" s="213" t="n"/>
      <c r="AK10" s="213" t="n"/>
      <c r="AL10" s="213" t="n"/>
      <c r="AM10" s="213" t="n"/>
      <c r="AN10" s="213" t="n"/>
      <c r="AO10" s="213" t="n"/>
      <c r="AP10" s="213" t="n"/>
      <c r="AQ10" s="213" t="n"/>
      <c r="AR10" s="213" t="n"/>
      <c r="AS10" s="213" t="n"/>
      <c r="AT10" s="213" t="n"/>
      <c r="AU10" s="213" t="n"/>
      <c r="AV10" s="213" t="n"/>
      <c r="AW10" s="213" t="n"/>
      <c r="AX10" s="213" t="n"/>
      <c r="AY10" s="213" t="n"/>
      <c r="AZ10" s="213" t="n"/>
      <c r="BA10" s="213" t="n"/>
      <c r="BB10" s="213" t="n"/>
    </row>
    <row r="11" ht="108" customHeight="1" s="885">
      <c r="A11" s="209" t="inlineStr">
        <is>
          <t>INT03</t>
        </is>
      </c>
      <c r="B11" s="216" t="inlineStr">
        <is>
          <t>(c)</t>
        </is>
      </c>
      <c r="C11" s="945" t="inlineStr">
        <is>
          <t>Total capital social libéré de la filiale satisfaisant aux critères d'inclusion dans le CET1, plus les réserves, le report à nouveau créditeur et le résultat bénéficiaire appartenant aux actionnaires minoritaires, avant toutes les déductions</t>
        </is>
      </c>
      <c r="D11" s="217" t="n"/>
      <c r="E11" s="213" t="n"/>
      <c r="F11" s="213" t="n"/>
      <c r="G11" s="213" t="n"/>
      <c r="H11" s="213" t="n"/>
      <c r="I11" s="213" t="n"/>
      <c r="J11" s="213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  <c r="AA11" s="213" t="n"/>
      <c r="AB11" s="213" t="n"/>
      <c r="AC11" s="213" t="n"/>
      <c r="AD11" s="213" t="n"/>
      <c r="AE11" s="213" t="n"/>
      <c r="AF11" s="213" t="n"/>
      <c r="AG11" s="213" t="n"/>
      <c r="AH11" s="213" t="n"/>
      <c r="AI11" s="213" t="n"/>
      <c r="AJ11" s="213" t="n"/>
      <c r="AK11" s="213" t="n"/>
      <c r="AL11" s="213" t="n"/>
      <c r="AM11" s="213" t="n"/>
      <c r="AN11" s="213" t="n"/>
      <c r="AO11" s="213" t="n"/>
      <c r="AP11" s="213" t="n"/>
      <c r="AQ11" s="213" t="n"/>
      <c r="AR11" s="213" t="n"/>
      <c r="AS11" s="213" t="n"/>
      <c r="AT11" s="213" t="n"/>
      <c r="AU11" s="213" t="n"/>
      <c r="AV11" s="213" t="n"/>
      <c r="AW11" s="213" t="n"/>
      <c r="AX11" s="213" t="n"/>
      <c r="AY11" s="213" t="n"/>
      <c r="AZ11" s="213" t="n"/>
      <c r="BA11" s="213" t="n"/>
      <c r="BB11" s="213" t="n"/>
    </row>
    <row r="12" ht="12.75" customHeight="1" s="885">
      <c r="A12" s="218" t="n"/>
      <c r="B12" s="219" t="n"/>
      <c r="C12" s="219" t="n"/>
      <c r="D12" s="220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21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21" t="n"/>
      <c r="Y12" s="219" t="n"/>
      <c r="Z12" s="219" t="n"/>
      <c r="AA12" s="219" t="n"/>
      <c r="AB12" s="219" t="n"/>
      <c r="AC12" s="219" t="n"/>
      <c r="AD12" s="219" t="n"/>
      <c r="AE12" s="219" t="n"/>
      <c r="AF12" s="219" t="n"/>
      <c r="AG12" s="219" t="n"/>
      <c r="AH12" s="221" t="n"/>
      <c r="AI12" s="219" t="n"/>
      <c r="AJ12" s="219" t="n"/>
      <c r="AK12" s="219" t="n"/>
      <c r="AL12" s="219" t="n"/>
      <c r="AM12" s="219" t="n"/>
      <c r="AN12" s="219" t="n"/>
      <c r="AO12" s="219" t="n"/>
      <c r="AP12" s="219" t="n"/>
      <c r="AQ12" s="219" t="n"/>
      <c r="AR12" s="221" t="n"/>
      <c r="AS12" s="219" t="n"/>
      <c r="AT12" s="219" t="n"/>
      <c r="AU12" s="219" t="n"/>
      <c r="AV12" s="219" t="n"/>
      <c r="AW12" s="219" t="n"/>
      <c r="AX12" s="219" t="n"/>
      <c r="AY12" s="219" t="n"/>
      <c r="AZ12" s="219" t="n"/>
      <c r="BA12" s="219" t="n"/>
      <c r="BB12" s="221" t="n"/>
    </row>
    <row r="13" ht="45" customHeight="1" s="885">
      <c r="A13" s="209" t="inlineStr">
        <is>
          <t>INT04</t>
        </is>
      </c>
      <c r="B13" s="216" t="inlineStr">
        <is>
          <t>(d)</t>
        </is>
      </c>
      <c r="C13" s="947" t="inlineStr">
        <is>
          <t>Total des fonds propres de base T1 (fonds propres CET1 + fonds propres AT1) de la filiale, après les déductions</t>
        </is>
      </c>
      <c r="D13" s="212" t="n"/>
      <c r="E13" s="213" t="n"/>
      <c r="F13" s="213" t="n"/>
      <c r="G13" s="213" t="n"/>
      <c r="H13" s="213" t="n"/>
      <c r="I13" s="213" t="n"/>
      <c r="J13" s="213" t="n"/>
      <c r="K13" s="213" t="n"/>
      <c r="L13" s="213" t="n"/>
      <c r="M13" s="213" t="n"/>
      <c r="N13" s="213" t="n"/>
      <c r="O13" s="213" t="n"/>
      <c r="P13" s="213" t="n"/>
      <c r="Q13" s="213" t="n"/>
      <c r="R13" s="213" t="n"/>
      <c r="S13" s="213" t="n"/>
      <c r="T13" s="213" t="n"/>
      <c r="U13" s="213" t="n"/>
      <c r="V13" s="213" t="n"/>
      <c r="W13" s="213" t="n"/>
      <c r="X13" s="213" t="n"/>
      <c r="Y13" s="213" t="n"/>
      <c r="Z13" s="213" t="n"/>
      <c r="AA13" s="213" t="n"/>
      <c r="AB13" s="213" t="n"/>
      <c r="AC13" s="213" t="n"/>
      <c r="AD13" s="213" t="n"/>
      <c r="AE13" s="213" t="n"/>
      <c r="AF13" s="213" t="n"/>
      <c r="AG13" s="213" t="n"/>
      <c r="AH13" s="213" t="n"/>
      <c r="AI13" s="213" t="n"/>
      <c r="AJ13" s="213" t="n"/>
      <c r="AK13" s="213" t="n"/>
      <c r="AL13" s="213" t="n"/>
      <c r="AM13" s="213" t="n"/>
      <c r="AN13" s="213" t="n"/>
      <c r="AO13" s="213" t="n"/>
      <c r="AP13" s="213" t="n"/>
      <c r="AQ13" s="213" t="n"/>
      <c r="AR13" s="213" t="n"/>
      <c r="AS13" s="213" t="n"/>
      <c r="AT13" s="213" t="n"/>
      <c r="AU13" s="213" t="n"/>
      <c r="AV13" s="213" t="n"/>
      <c r="AW13" s="213" t="n"/>
      <c r="AX13" s="213" t="n"/>
      <c r="AY13" s="213" t="n"/>
      <c r="AZ13" s="213" t="n"/>
      <c r="BA13" s="213" t="n"/>
      <c r="BB13" s="213" t="n"/>
    </row>
    <row r="14" ht="45" customHeight="1" s="885">
      <c r="A14" s="209" t="inlineStr">
        <is>
          <t>INT05</t>
        </is>
      </c>
      <c r="B14" s="216" t="inlineStr">
        <is>
          <t>(e)</t>
        </is>
      </c>
      <c r="C14" s="947" t="inlineStr">
        <is>
          <t>Total des fonds propres de base T1 de la filiale appartenant au groupe avant toutes les déductions</t>
        </is>
      </c>
      <c r="D14" s="215" t="n"/>
      <c r="E14" s="213" t="n"/>
      <c r="F14" s="213" t="n"/>
      <c r="G14" s="213" t="n"/>
      <c r="H14" s="213" t="n"/>
      <c r="I14" s="213" t="n"/>
      <c r="J14" s="213" t="n"/>
      <c r="K14" s="213" t="n"/>
      <c r="L14" s="213" t="n"/>
      <c r="M14" s="213" t="n"/>
      <c r="N14" s="213" t="n"/>
      <c r="O14" s="213" t="n"/>
      <c r="P14" s="213" t="n"/>
      <c r="Q14" s="213" t="n"/>
      <c r="R14" s="213" t="n"/>
      <c r="S14" s="213" t="n"/>
      <c r="T14" s="213" t="n"/>
      <c r="U14" s="213" t="n"/>
      <c r="V14" s="213" t="n"/>
      <c r="W14" s="213" t="n"/>
      <c r="X14" s="213" t="n"/>
      <c r="Y14" s="213" t="n"/>
      <c r="Z14" s="213" t="n"/>
      <c r="AA14" s="213" t="n"/>
      <c r="AB14" s="213" t="n"/>
      <c r="AC14" s="213" t="n"/>
      <c r="AD14" s="213" t="n"/>
      <c r="AE14" s="213" t="n"/>
      <c r="AF14" s="213" t="n"/>
      <c r="AG14" s="213" t="n"/>
      <c r="AH14" s="213" t="n"/>
      <c r="AI14" s="213" t="n"/>
      <c r="AJ14" s="213" t="n"/>
      <c r="AK14" s="213" t="n"/>
      <c r="AL14" s="213" t="n"/>
      <c r="AM14" s="213" t="n"/>
      <c r="AN14" s="213" t="n"/>
      <c r="AO14" s="213" t="n"/>
      <c r="AP14" s="213" t="n"/>
      <c r="AQ14" s="213" t="n"/>
      <c r="AR14" s="213" t="n"/>
      <c r="AS14" s="213" t="n"/>
      <c r="AT14" s="213" t="n"/>
      <c r="AU14" s="213" t="n"/>
      <c r="AV14" s="213" t="n"/>
      <c r="AW14" s="213" t="n"/>
      <c r="AX14" s="213" t="n"/>
      <c r="AY14" s="213" t="n"/>
      <c r="AZ14" s="213" t="n"/>
      <c r="BA14" s="213" t="n"/>
      <c r="BB14" s="213" t="n"/>
    </row>
    <row r="15" ht="45" customHeight="1" s="885">
      <c r="A15" s="209" t="inlineStr">
        <is>
          <t>INT06</t>
        </is>
      </c>
      <c r="B15" s="216" t="inlineStr">
        <is>
          <t>(f)</t>
        </is>
      </c>
      <c r="C15" s="947" t="inlineStr">
        <is>
          <t>Total des fonds propres de base T1 de la filiale appartenant aux actionnaires minoritaires, avant toutes les déductions</t>
        </is>
      </c>
      <c r="D15" s="217" t="n"/>
      <c r="E15" s="213" t="n"/>
      <c r="F15" s="213" t="n"/>
      <c r="G15" s="213" t="n"/>
      <c r="H15" s="213" t="n"/>
      <c r="I15" s="213" t="n"/>
      <c r="J15" s="213" t="n"/>
      <c r="K15" s="213" t="n"/>
      <c r="L15" s="213" t="n"/>
      <c r="M15" s="213" t="n"/>
      <c r="N15" s="213" t="n"/>
      <c r="O15" s="213" t="n"/>
      <c r="P15" s="213" t="n"/>
      <c r="Q15" s="213" t="n"/>
      <c r="R15" s="213" t="n"/>
      <c r="S15" s="213" t="n"/>
      <c r="T15" s="213" t="n"/>
      <c r="U15" s="213" t="n"/>
      <c r="V15" s="213" t="n"/>
      <c r="W15" s="213" t="n"/>
      <c r="X15" s="213" t="n"/>
      <c r="Y15" s="213" t="n"/>
      <c r="Z15" s="213" t="n"/>
      <c r="AA15" s="213" t="n"/>
      <c r="AB15" s="213" t="n"/>
      <c r="AC15" s="213" t="n"/>
      <c r="AD15" s="213" t="n"/>
      <c r="AE15" s="213" t="n"/>
      <c r="AF15" s="213" t="n"/>
      <c r="AG15" s="213" t="n"/>
      <c r="AH15" s="213" t="n"/>
      <c r="AI15" s="213" t="n"/>
      <c r="AJ15" s="213" t="n"/>
      <c r="AK15" s="213" t="n"/>
      <c r="AL15" s="213" t="n"/>
      <c r="AM15" s="213" t="n"/>
      <c r="AN15" s="213" t="n"/>
      <c r="AO15" s="213" t="n"/>
      <c r="AP15" s="213" t="n"/>
      <c r="AQ15" s="213" t="n"/>
      <c r="AR15" s="213" t="n"/>
      <c r="AS15" s="213" t="n"/>
      <c r="AT15" s="213" t="n"/>
      <c r="AU15" s="213" t="n"/>
      <c r="AV15" s="213" t="n"/>
      <c r="AW15" s="213" t="n"/>
      <c r="AX15" s="213" t="n"/>
      <c r="AY15" s="213" t="n"/>
      <c r="AZ15" s="213" t="n"/>
      <c r="BA15" s="213" t="n"/>
      <c r="BB15" s="213" t="n"/>
    </row>
    <row r="16" ht="12.75" customHeight="1" s="885">
      <c r="A16" s="218" t="n"/>
      <c r="B16" s="219" t="n"/>
      <c r="C16" s="219" t="n"/>
      <c r="D16" s="219" t="n"/>
      <c r="E16" s="219" t="n"/>
      <c r="F16" s="219" t="n"/>
      <c r="G16" s="219" t="n"/>
      <c r="H16" s="219" t="n"/>
      <c r="I16" s="219" t="n"/>
      <c r="J16" s="219" t="n"/>
      <c r="K16" s="219" t="n"/>
      <c r="L16" s="219" t="n"/>
      <c r="M16" s="219" t="n"/>
      <c r="N16" s="221" t="n"/>
      <c r="O16" s="219" t="n"/>
      <c r="P16" s="219" t="n"/>
      <c r="Q16" s="219" t="n"/>
      <c r="R16" s="219" t="n"/>
      <c r="S16" s="219" t="n"/>
      <c r="T16" s="219" t="n"/>
      <c r="U16" s="219" t="n"/>
      <c r="V16" s="219" t="n"/>
      <c r="W16" s="219" t="n"/>
      <c r="X16" s="221" t="n"/>
      <c r="Y16" s="219" t="n"/>
      <c r="Z16" s="219" t="n"/>
      <c r="AA16" s="219" t="n"/>
      <c r="AB16" s="219" t="n"/>
      <c r="AC16" s="219" t="n"/>
      <c r="AD16" s="219" t="n"/>
      <c r="AE16" s="219" t="n"/>
      <c r="AF16" s="219" t="n"/>
      <c r="AG16" s="219" t="n"/>
      <c r="AH16" s="221" t="n"/>
      <c r="AI16" s="219" t="n"/>
      <c r="AJ16" s="219" t="n"/>
      <c r="AK16" s="219" t="n"/>
      <c r="AL16" s="219" t="n"/>
      <c r="AM16" s="219" t="n"/>
      <c r="AN16" s="219" t="n"/>
      <c r="AO16" s="219" t="n"/>
      <c r="AP16" s="219" t="n"/>
      <c r="AQ16" s="219" t="n"/>
      <c r="AR16" s="221" t="n"/>
      <c r="AS16" s="219" t="n"/>
      <c r="AT16" s="219" t="n"/>
      <c r="AU16" s="219" t="n"/>
      <c r="AV16" s="219" t="n"/>
      <c r="AW16" s="219" t="n"/>
      <c r="AX16" s="219" t="n"/>
      <c r="AY16" s="219" t="n"/>
      <c r="AZ16" s="219" t="n"/>
      <c r="BA16" s="219" t="n"/>
      <c r="BB16" s="221" t="n"/>
    </row>
    <row r="17" ht="82.5" customHeight="1" s="885">
      <c r="A17" s="209" t="inlineStr">
        <is>
          <t>INT07</t>
        </is>
      </c>
      <c r="B17" s="216" t="inlineStr">
        <is>
          <t>(g)</t>
        </is>
      </c>
      <c r="C17" s="947" t="inlineStr">
        <is>
          <t>Total des fonds propres (fonds propres CET1 + fonds propres AT1 + fonds propres complémentaires T2) de la filiale, après les déductions</t>
        </is>
      </c>
      <c r="D17" s="212" t="n"/>
      <c r="E17" s="213" t="n"/>
      <c r="F17" s="213" t="n"/>
      <c r="G17" s="213" t="n"/>
      <c r="H17" s="213" t="n"/>
      <c r="I17" s="213" t="n"/>
      <c r="J17" s="213" t="n"/>
      <c r="K17" s="213" t="n"/>
      <c r="L17" s="213" t="n"/>
      <c r="M17" s="213" t="n"/>
      <c r="N17" s="213" t="n"/>
      <c r="O17" s="213" t="n"/>
      <c r="P17" s="213" t="n"/>
      <c r="Q17" s="213" t="n"/>
      <c r="R17" s="213" t="n"/>
      <c r="S17" s="213" t="n"/>
      <c r="T17" s="213" t="n"/>
      <c r="U17" s="213" t="n"/>
      <c r="V17" s="213" t="n"/>
      <c r="W17" s="213" t="n"/>
      <c r="X17" s="213" t="n"/>
      <c r="Y17" s="213" t="n"/>
      <c r="Z17" s="213" t="n"/>
      <c r="AA17" s="213" t="n"/>
      <c r="AB17" s="213" t="n"/>
      <c r="AC17" s="213" t="n"/>
      <c r="AD17" s="213" t="n"/>
      <c r="AE17" s="213" t="n"/>
      <c r="AF17" s="213" t="n"/>
      <c r="AG17" s="213" t="n"/>
      <c r="AH17" s="213" t="n"/>
      <c r="AI17" s="213" t="n"/>
      <c r="AJ17" s="213" t="n"/>
      <c r="AK17" s="213" t="n"/>
      <c r="AL17" s="213" t="n"/>
      <c r="AM17" s="213" t="n"/>
      <c r="AN17" s="213" t="n"/>
      <c r="AO17" s="213" t="n"/>
      <c r="AP17" s="213" t="n"/>
      <c r="AQ17" s="213" t="n"/>
      <c r="AR17" s="213" t="n"/>
      <c r="AS17" s="213" t="n"/>
      <c r="AT17" s="213" t="n"/>
      <c r="AU17" s="213" t="n"/>
      <c r="AV17" s="213" t="n"/>
      <c r="AW17" s="213" t="n"/>
      <c r="AX17" s="213" t="n"/>
      <c r="AY17" s="213" t="n"/>
      <c r="AZ17" s="213" t="n"/>
      <c r="BA17" s="213" t="n"/>
      <c r="BB17" s="213" t="n"/>
    </row>
    <row r="18" ht="58.5" customHeight="1" s="885">
      <c r="A18" s="209" t="inlineStr">
        <is>
          <t>INT08</t>
        </is>
      </c>
      <c r="B18" s="216" t="inlineStr">
        <is>
          <t>(h)</t>
        </is>
      </c>
      <c r="C18" s="947" t="inlineStr">
        <is>
          <t>Total des fonds propres de la filiale appartenant au groupe, avant toutes les déductions</t>
        </is>
      </c>
      <c r="D18" s="215" t="n"/>
      <c r="E18" s="213" t="n"/>
      <c r="F18" s="213" t="n"/>
      <c r="G18" s="213" t="n"/>
      <c r="H18" s="213" t="n"/>
      <c r="I18" s="213" t="n"/>
      <c r="J18" s="213" t="n"/>
      <c r="K18" s="213" t="n"/>
      <c r="L18" s="213" t="n"/>
      <c r="M18" s="213" t="n"/>
      <c r="N18" s="213" t="n"/>
      <c r="O18" s="213" t="n"/>
      <c r="P18" s="213" t="n"/>
      <c r="Q18" s="213" t="n"/>
      <c r="R18" s="213" t="n"/>
      <c r="S18" s="213" t="n"/>
      <c r="T18" s="213" t="n"/>
      <c r="U18" s="213" t="n"/>
      <c r="V18" s="213" t="n"/>
      <c r="W18" s="213" t="n"/>
      <c r="X18" s="213" t="n"/>
      <c r="Y18" s="213" t="n"/>
      <c r="Z18" s="213" t="n"/>
      <c r="AA18" s="213" t="n"/>
      <c r="AB18" s="213" t="n"/>
      <c r="AC18" s="213" t="n"/>
      <c r="AD18" s="213" t="n"/>
      <c r="AE18" s="213" t="n"/>
      <c r="AF18" s="213" t="n"/>
      <c r="AG18" s="213" t="n"/>
      <c r="AH18" s="213" t="n"/>
      <c r="AI18" s="213" t="n"/>
      <c r="AJ18" s="213" t="n"/>
      <c r="AK18" s="213" t="n"/>
      <c r="AL18" s="213" t="n"/>
      <c r="AM18" s="213" t="n"/>
      <c r="AN18" s="213" t="n"/>
      <c r="AO18" s="213" t="n"/>
      <c r="AP18" s="213" t="n"/>
      <c r="AQ18" s="213" t="n"/>
      <c r="AR18" s="213" t="n"/>
      <c r="AS18" s="213" t="n"/>
      <c r="AT18" s="213" t="n"/>
      <c r="AU18" s="213" t="n"/>
      <c r="AV18" s="213" t="n"/>
      <c r="AW18" s="213" t="n"/>
      <c r="AX18" s="213" t="n"/>
      <c r="AY18" s="213" t="n"/>
      <c r="AZ18" s="213" t="n"/>
      <c r="BA18" s="213" t="n"/>
      <c r="BB18" s="213" t="n"/>
    </row>
    <row r="19" ht="45" customHeight="1" s="885">
      <c r="A19" s="209" t="inlineStr">
        <is>
          <t>INT09</t>
        </is>
      </c>
      <c r="B19" s="216" t="inlineStr">
        <is>
          <t>(i)</t>
        </is>
      </c>
      <c r="C19" s="947" t="inlineStr">
        <is>
          <t>Total des fonds propres de la filiale appartenant aux actionnaires minoritaires, avant toutes les déductions</t>
        </is>
      </c>
      <c r="D19" s="217" t="n"/>
      <c r="E19" s="213" t="n"/>
      <c r="F19" s="213" t="n"/>
      <c r="G19" s="213" t="n"/>
      <c r="H19" s="213" t="n"/>
      <c r="I19" s="213" t="n"/>
      <c r="J19" s="213" t="n"/>
      <c r="K19" s="213" t="n"/>
      <c r="L19" s="213" t="n"/>
      <c r="M19" s="213" t="n"/>
      <c r="N19" s="213" t="n"/>
      <c r="O19" s="213" t="n"/>
      <c r="P19" s="213" t="n"/>
      <c r="Q19" s="213" t="n"/>
      <c r="R19" s="213" t="n"/>
      <c r="S19" s="213" t="n"/>
      <c r="T19" s="213" t="n"/>
      <c r="U19" s="213" t="n"/>
      <c r="V19" s="213" t="n"/>
      <c r="W19" s="213" t="n"/>
      <c r="X19" s="213" t="n"/>
      <c r="Y19" s="213" t="n"/>
      <c r="Z19" s="213" t="n"/>
      <c r="AA19" s="213" t="n"/>
      <c r="AB19" s="213" t="n"/>
      <c r="AC19" s="213" t="n"/>
      <c r="AD19" s="213" t="n"/>
      <c r="AE19" s="213" t="n"/>
      <c r="AF19" s="213" t="n"/>
      <c r="AG19" s="213" t="n"/>
      <c r="AH19" s="213" t="n"/>
      <c r="AI19" s="213" t="n"/>
      <c r="AJ19" s="213" t="n"/>
      <c r="AK19" s="213" t="n"/>
      <c r="AL19" s="213" t="n"/>
      <c r="AM19" s="213" t="n"/>
      <c r="AN19" s="213" t="n"/>
      <c r="AO19" s="213" t="n"/>
      <c r="AP19" s="213" t="n"/>
      <c r="AQ19" s="213" t="n"/>
      <c r="AR19" s="213" t="n"/>
      <c r="AS19" s="213" t="n"/>
      <c r="AT19" s="213" t="n"/>
      <c r="AU19" s="213" t="n"/>
      <c r="AV19" s="213" t="n"/>
      <c r="AW19" s="213" t="n"/>
      <c r="AX19" s="213" t="n"/>
      <c r="AY19" s="213" t="n"/>
      <c r="AZ19" s="213" t="n"/>
      <c r="BA19" s="213" t="n"/>
      <c r="BB19" s="213" t="n"/>
    </row>
    <row r="20" ht="12.75" customHeight="1" s="885">
      <c r="A20" s="218" t="n"/>
      <c r="B20" s="219" t="n"/>
      <c r="C20" s="219" t="n"/>
      <c r="D20" s="219" t="n"/>
      <c r="E20" s="219" t="n"/>
      <c r="F20" s="219" t="n"/>
      <c r="G20" s="219" t="n"/>
      <c r="H20" s="219" t="n"/>
      <c r="I20" s="219" t="n"/>
      <c r="J20" s="219" t="n"/>
      <c r="K20" s="219" t="n"/>
      <c r="L20" s="219" t="n"/>
      <c r="M20" s="219" t="n"/>
      <c r="N20" s="221" t="n"/>
      <c r="O20" s="219" t="n"/>
      <c r="P20" s="219" t="n"/>
      <c r="Q20" s="219" t="n"/>
      <c r="R20" s="219" t="n"/>
      <c r="S20" s="219" t="n"/>
      <c r="T20" s="219" t="n"/>
      <c r="U20" s="219" t="n"/>
      <c r="V20" s="219" t="n"/>
      <c r="W20" s="219" t="n"/>
      <c r="X20" s="221" t="n"/>
      <c r="Y20" s="219" t="n"/>
      <c r="Z20" s="219" t="n"/>
      <c r="AA20" s="219" t="n"/>
      <c r="AB20" s="219" t="n"/>
      <c r="AC20" s="219" t="n"/>
      <c r="AD20" s="219" t="n"/>
      <c r="AE20" s="219" t="n"/>
      <c r="AF20" s="219" t="n"/>
      <c r="AG20" s="219" t="n"/>
      <c r="AH20" s="221" t="n"/>
      <c r="AI20" s="219" t="n"/>
      <c r="AJ20" s="219" t="n"/>
      <c r="AK20" s="219" t="n"/>
      <c r="AL20" s="219" t="n"/>
      <c r="AM20" s="219" t="n"/>
      <c r="AN20" s="219" t="n"/>
      <c r="AO20" s="219" t="n"/>
      <c r="AP20" s="219" t="n"/>
      <c r="AQ20" s="219" t="n"/>
      <c r="AR20" s="221" t="n"/>
      <c r="AS20" s="219" t="n"/>
      <c r="AT20" s="219" t="n"/>
      <c r="AU20" s="219" t="n"/>
      <c r="AV20" s="219" t="n"/>
      <c r="AW20" s="219" t="n"/>
      <c r="AX20" s="219" t="n"/>
      <c r="AY20" s="219" t="n"/>
      <c r="AZ20" s="219" t="n"/>
      <c r="BA20" s="219" t="n"/>
      <c r="BB20" s="221" t="n"/>
    </row>
    <row r="21" ht="45" customHeight="1" s="885">
      <c r="A21" s="209" t="inlineStr">
        <is>
          <t>INT10</t>
        </is>
      </c>
      <c r="B21" s="216" t="inlineStr">
        <is>
          <t>(j)</t>
        </is>
      </c>
      <c r="C21" s="948" t="inlineStr">
        <is>
          <t>Total des actifs pondérés des risques de la filiale</t>
        </is>
      </c>
      <c r="D21" s="212" t="n"/>
      <c r="E21" s="213" t="n"/>
      <c r="F21" s="213" t="n"/>
      <c r="G21" s="213" t="n"/>
      <c r="H21" s="213" t="n"/>
      <c r="I21" s="213" t="n"/>
      <c r="J21" s="213" t="n"/>
      <c r="K21" s="213" t="n"/>
      <c r="L21" s="213" t="n"/>
      <c r="M21" s="213" t="n"/>
      <c r="N21" s="213" t="n"/>
      <c r="O21" s="213" t="n"/>
      <c r="P21" s="213" t="n"/>
      <c r="Q21" s="213" t="n"/>
      <c r="R21" s="213" t="n"/>
      <c r="S21" s="213" t="n"/>
      <c r="T21" s="213" t="n"/>
      <c r="U21" s="213" t="n"/>
      <c r="V21" s="213" t="n"/>
      <c r="W21" s="213" t="n"/>
      <c r="X21" s="213" t="n"/>
      <c r="Y21" s="213" t="n"/>
      <c r="Z21" s="213" t="n"/>
      <c r="AA21" s="213" t="n"/>
      <c r="AB21" s="213" t="n"/>
      <c r="AC21" s="213" t="n"/>
      <c r="AD21" s="213" t="n"/>
      <c r="AE21" s="213" t="n"/>
      <c r="AF21" s="213" t="n"/>
      <c r="AG21" s="213" t="n"/>
      <c r="AH21" s="213" t="n"/>
      <c r="AI21" s="213" t="n"/>
      <c r="AJ21" s="213" t="n"/>
      <c r="AK21" s="213" t="n"/>
      <c r="AL21" s="213" t="n"/>
      <c r="AM21" s="213" t="n"/>
      <c r="AN21" s="213" t="n"/>
      <c r="AO21" s="213" t="n"/>
      <c r="AP21" s="213" t="n"/>
      <c r="AQ21" s="213" t="n"/>
      <c r="AR21" s="213" t="n"/>
      <c r="AS21" s="213" t="n"/>
      <c r="AT21" s="213" t="n"/>
      <c r="AU21" s="213" t="n"/>
      <c r="AV21" s="213" t="n"/>
      <c r="AW21" s="213" t="n"/>
      <c r="AX21" s="213" t="n"/>
      <c r="AY21" s="213" t="n"/>
      <c r="AZ21" s="213" t="n"/>
      <c r="BA21" s="213" t="n"/>
      <c r="BB21" s="213" t="n"/>
    </row>
    <row r="22" ht="90.75" customHeight="1" s="885">
      <c r="A22" s="209" t="inlineStr">
        <is>
          <t>INT11</t>
        </is>
      </c>
      <c r="B22" s="216" t="inlineStr">
        <is>
          <t>(k)</t>
        </is>
      </c>
      <c r="C22" s="947" t="inlineStr">
        <is>
          <t>Actifs pondérés des risques du groupe consolidé se rapportant à la filiale (i.e. actifs pondérés des risques de la filiale, à l'exclusion des transactions intragroupes)</t>
        </is>
      </c>
      <c r="D22" s="215" t="n"/>
      <c r="E22" s="213" t="n"/>
      <c r="F22" s="213" t="n"/>
      <c r="G22" s="213" t="n"/>
      <c r="H22" s="213" t="n"/>
      <c r="I22" s="213" t="n"/>
      <c r="J22" s="213" t="n"/>
      <c r="K22" s="213" t="n"/>
      <c r="L22" s="213" t="n"/>
      <c r="M22" s="213" t="n"/>
      <c r="N22" s="213" t="n"/>
      <c r="O22" s="213" t="n"/>
      <c r="P22" s="213" t="n"/>
      <c r="Q22" s="213" t="n"/>
      <c r="R22" s="213" t="n"/>
      <c r="S22" s="213" t="n"/>
      <c r="T22" s="213" t="n"/>
      <c r="U22" s="213" t="n"/>
      <c r="V22" s="213" t="n"/>
      <c r="W22" s="213" t="n"/>
      <c r="X22" s="213" t="n"/>
      <c r="Y22" s="213" t="n"/>
      <c r="Z22" s="213" t="n"/>
      <c r="AA22" s="213" t="n"/>
      <c r="AB22" s="213" t="n"/>
      <c r="AC22" s="213" t="n"/>
      <c r="AD22" s="213" t="n"/>
      <c r="AE22" s="213" t="n"/>
      <c r="AF22" s="213" t="n"/>
      <c r="AG22" s="213" t="n"/>
      <c r="AH22" s="213" t="n"/>
      <c r="AI22" s="213" t="n"/>
      <c r="AJ22" s="213" t="n"/>
      <c r="AK22" s="213" t="n"/>
      <c r="AL22" s="213" t="n"/>
      <c r="AM22" s="213" t="n"/>
      <c r="AN22" s="213" t="n"/>
      <c r="AO22" s="213" t="n"/>
      <c r="AP22" s="213" t="n"/>
      <c r="AQ22" s="213" t="n"/>
      <c r="AR22" s="213" t="n"/>
      <c r="AS22" s="213" t="n"/>
      <c r="AT22" s="213" t="n"/>
      <c r="AU22" s="213" t="n"/>
      <c r="AV22" s="213" t="n"/>
      <c r="AW22" s="213" t="n"/>
      <c r="AX22" s="213" t="n"/>
      <c r="AY22" s="213" t="n"/>
      <c r="AZ22" s="213" t="n"/>
      <c r="BA22" s="213" t="n"/>
      <c r="BB22" s="213" t="n"/>
    </row>
    <row r="23" ht="12.75" customHeight="1" s="885">
      <c r="A23" s="218" t="n"/>
      <c r="B23" s="219" t="n"/>
      <c r="C23" s="219" t="n"/>
      <c r="D23" s="219" t="n"/>
      <c r="E23" s="219" t="n"/>
      <c r="F23" s="219" t="n"/>
      <c r="G23" s="219" t="n"/>
      <c r="H23" s="219" t="n"/>
      <c r="I23" s="219" t="n"/>
      <c r="J23" s="219" t="n"/>
      <c r="K23" s="219" t="n"/>
      <c r="L23" s="219" t="n"/>
      <c r="M23" s="219" t="n"/>
      <c r="N23" s="221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21" t="n"/>
      <c r="Y23" s="219" t="n"/>
      <c r="Z23" s="219" t="n"/>
      <c r="AA23" s="219" t="n"/>
      <c r="AB23" s="219" t="n"/>
      <c r="AC23" s="219" t="n"/>
      <c r="AD23" s="219" t="n"/>
      <c r="AE23" s="219" t="n"/>
      <c r="AF23" s="219" t="n"/>
      <c r="AG23" s="219" t="n"/>
      <c r="AH23" s="221" t="n"/>
      <c r="AI23" s="219" t="n"/>
      <c r="AJ23" s="219" t="n"/>
      <c r="AK23" s="219" t="n"/>
      <c r="AL23" s="219" t="n"/>
      <c r="AM23" s="219" t="n"/>
      <c r="AN23" s="219" t="n"/>
      <c r="AO23" s="219" t="n"/>
      <c r="AP23" s="219" t="n"/>
      <c r="AQ23" s="219" t="n"/>
      <c r="AR23" s="221" t="n"/>
      <c r="AS23" s="219" t="n"/>
      <c r="AT23" s="219" t="n"/>
      <c r="AU23" s="219" t="n"/>
      <c r="AV23" s="219" t="n"/>
      <c r="AW23" s="219" t="n"/>
      <c r="AX23" s="219" t="n"/>
      <c r="AY23" s="219" t="n"/>
      <c r="AZ23" s="219" t="n"/>
      <c r="BA23" s="219" t="n"/>
      <c r="BB23" s="221" t="n"/>
    </row>
    <row r="24" ht="27.75" customHeight="1" s="885">
      <c r="A24" s="209" t="n"/>
      <c r="B24" s="949" t="n"/>
      <c r="C24" s="950" t="inlineStr">
        <is>
          <t xml:space="preserve">Intérêts minoritaires (CET1) </t>
        </is>
      </c>
      <c r="D24" s="951" t="n"/>
      <c r="E24" s="951" t="n"/>
      <c r="F24" s="951" t="n"/>
      <c r="G24" s="951" t="n"/>
      <c r="H24" s="951" t="n"/>
      <c r="I24" s="951" t="n"/>
      <c r="J24" s="951" t="n"/>
      <c r="K24" s="951" t="n"/>
      <c r="L24" s="951" t="n"/>
      <c r="M24" s="951" t="n"/>
      <c r="N24" s="952" t="n"/>
      <c r="O24" s="951" t="n"/>
      <c r="P24" s="951" t="n"/>
      <c r="Q24" s="951" t="n"/>
      <c r="R24" s="951" t="n"/>
      <c r="S24" s="951" t="n"/>
      <c r="T24" s="951" t="n"/>
      <c r="U24" s="951" t="n"/>
      <c r="V24" s="951" t="n"/>
      <c r="W24" s="951" t="n"/>
      <c r="X24" s="952" t="n"/>
      <c r="Y24" s="951" t="n"/>
      <c r="Z24" s="951" t="n"/>
      <c r="AA24" s="951" t="n"/>
      <c r="AB24" s="951" t="n"/>
      <c r="AC24" s="951" t="n"/>
      <c r="AD24" s="951" t="n"/>
      <c r="AE24" s="951" t="n"/>
      <c r="AF24" s="951" t="n"/>
      <c r="AG24" s="951" t="n"/>
      <c r="AH24" s="952" t="n"/>
      <c r="AI24" s="951" t="n"/>
      <c r="AJ24" s="951" t="n"/>
      <c r="AK24" s="951" t="n"/>
      <c r="AL24" s="951" t="n"/>
      <c r="AM24" s="951" t="n"/>
      <c r="AN24" s="951" t="n"/>
      <c r="AO24" s="951" t="n"/>
      <c r="AP24" s="951" t="n"/>
      <c r="AQ24" s="951" t="n"/>
      <c r="AR24" s="952" t="n"/>
      <c r="AS24" s="951" t="n"/>
      <c r="AT24" s="951" t="n"/>
      <c r="AU24" s="951" t="n"/>
      <c r="AV24" s="951" t="n"/>
      <c r="AW24" s="951" t="n"/>
      <c r="AX24" s="951" t="n"/>
      <c r="AY24" s="951" t="n"/>
      <c r="AZ24" s="951" t="n"/>
      <c r="BA24" s="951" t="n"/>
      <c r="BB24" s="952" t="n"/>
    </row>
    <row r="25" ht="63.75" customHeight="1" s="885">
      <c r="A25" s="209" t="inlineStr">
        <is>
          <t>INT12</t>
        </is>
      </c>
      <c r="B25" s="944" t="inlineStr">
        <is>
          <t>l=jxratio*</t>
        </is>
      </c>
      <c r="C25" s="947" t="inlineStr">
        <is>
          <t>Exigence minimale de fonds propres CET1 de la filiale (incluant le coussin de conservation)</t>
        </is>
      </c>
      <c r="D25" s="215" t="n"/>
      <c r="E25" s="213" t="n"/>
      <c r="F25" s="213" t="n"/>
      <c r="G25" s="213" t="n"/>
      <c r="H25" s="213" t="n"/>
      <c r="I25" s="213" t="n"/>
      <c r="J25" s="213" t="n"/>
      <c r="K25" s="213" t="n"/>
      <c r="L25" s="213" t="n"/>
      <c r="M25" s="213" t="n"/>
      <c r="N25" s="213" t="n"/>
      <c r="O25" s="213" t="n"/>
      <c r="P25" s="213" t="n"/>
      <c r="Q25" s="213" t="n"/>
      <c r="R25" s="213" t="n"/>
      <c r="S25" s="213" t="n"/>
      <c r="T25" s="213" t="n"/>
      <c r="U25" s="213" t="n"/>
      <c r="V25" s="213" t="n"/>
      <c r="W25" s="213" t="n"/>
      <c r="X25" s="213" t="n"/>
      <c r="Y25" s="213" t="n"/>
      <c r="Z25" s="213" t="n"/>
      <c r="AA25" s="213" t="n"/>
      <c r="AB25" s="213" t="n"/>
      <c r="AC25" s="213" t="n"/>
      <c r="AD25" s="213" t="n"/>
      <c r="AE25" s="213" t="n"/>
      <c r="AF25" s="213" t="n"/>
      <c r="AG25" s="213" t="n"/>
      <c r="AH25" s="213" t="n"/>
      <c r="AI25" s="213" t="n"/>
      <c r="AJ25" s="213" t="n"/>
      <c r="AK25" s="213" t="n"/>
      <c r="AL25" s="213" t="n"/>
      <c r="AM25" s="213" t="n"/>
      <c r="AN25" s="213" t="n"/>
      <c r="AO25" s="213" t="n"/>
      <c r="AP25" s="213" t="n"/>
      <c r="AQ25" s="213" t="n"/>
      <c r="AR25" s="213" t="n"/>
      <c r="AS25" s="213" t="n"/>
      <c r="AT25" s="213" t="n"/>
      <c r="AU25" s="213" t="n"/>
      <c r="AV25" s="213" t="n"/>
      <c r="AW25" s="213" t="n"/>
      <c r="AX25" s="213" t="n"/>
      <c r="AY25" s="213" t="n"/>
      <c r="AZ25" s="213" t="n"/>
      <c r="BA25" s="213" t="n"/>
      <c r="BB25" s="213" t="n"/>
    </row>
    <row r="26" ht="67.5" customHeight="1" s="885">
      <c r="A26" s="209" t="inlineStr">
        <is>
          <t>INT13</t>
        </is>
      </c>
      <c r="B26" s="944" t="inlineStr">
        <is>
          <t>m=kxratio*</t>
        </is>
      </c>
      <c r="C26" s="947" t="inlineStr">
        <is>
          <t>Part de la filiale dans les exigences minimales de fonds propres CET1 du groupe consolidé (incluant le coussin de conservation)</t>
        </is>
      </c>
      <c r="D26" s="215" t="n"/>
      <c r="E26" s="213" t="n"/>
      <c r="F26" s="213" t="n"/>
      <c r="G26" s="213" t="n"/>
      <c r="H26" s="213" t="n"/>
      <c r="I26" s="213" t="n"/>
      <c r="J26" s="213" t="n"/>
      <c r="K26" s="213" t="n"/>
      <c r="L26" s="213" t="n"/>
      <c r="M26" s="213" t="n"/>
      <c r="N26" s="213" t="n"/>
      <c r="O26" s="213" t="n"/>
      <c r="P26" s="213" t="n"/>
      <c r="Q26" s="213" t="n"/>
      <c r="R26" s="213" t="n"/>
      <c r="S26" s="213" t="n"/>
      <c r="T26" s="213" t="n"/>
      <c r="U26" s="213" t="n"/>
      <c r="V26" s="213" t="n"/>
      <c r="W26" s="213" t="n"/>
      <c r="X26" s="213" t="n"/>
      <c r="Y26" s="213" t="n"/>
      <c r="Z26" s="213" t="n"/>
      <c r="AA26" s="213" t="n"/>
      <c r="AB26" s="213" t="n"/>
      <c r="AC26" s="213" t="n"/>
      <c r="AD26" s="213" t="n"/>
      <c r="AE26" s="213" t="n"/>
      <c r="AF26" s="213" t="n"/>
      <c r="AG26" s="213" t="n"/>
      <c r="AH26" s="213" t="n"/>
      <c r="AI26" s="213" t="n"/>
      <c r="AJ26" s="213" t="n"/>
      <c r="AK26" s="213" t="n"/>
      <c r="AL26" s="213" t="n"/>
      <c r="AM26" s="213" t="n"/>
      <c r="AN26" s="213" t="n"/>
      <c r="AO26" s="213" t="n"/>
      <c r="AP26" s="213" t="n"/>
      <c r="AQ26" s="213" t="n"/>
      <c r="AR26" s="213" t="n"/>
      <c r="AS26" s="213" t="n"/>
      <c r="AT26" s="213" t="n"/>
      <c r="AU26" s="213" t="n"/>
      <c r="AV26" s="213" t="n"/>
      <c r="AW26" s="213" t="n"/>
      <c r="AX26" s="213" t="n"/>
      <c r="AY26" s="213" t="n"/>
      <c r="AZ26" s="213" t="n"/>
      <c r="BA26" s="213" t="n"/>
      <c r="BB26" s="213" t="n"/>
    </row>
    <row r="27" ht="48.75" customHeight="1" s="885">
      <c r="A27" s="209" t="inlineStr">
        <is>
          <t>INT14</t>
        </is>
      </c>
      <c r="B27" s="944" t="inlineStr">
        <is>
          <t>n=a-[min(l,m)]</t>
        </is>
      </c>
      <c r="C27" s="948" t="inlineStr">
        <is>
          <t>Fonds propres CET1 excédentaires de la filiale</t>
        </is>
      </c>
      <c r="D27" s="215" t="n"/>
      <c r="E27" s="213" t="n"/>
      <c r="F27" s="213" t="n"/>
      <c r="G27" s="213" t="n"/>
      <c r="H27" s="213" t="n"/>
      <c r="I27" s="213" t="n"/>
      <c r="J27" s="213" t="n"/>
      <c r="K27" s="213" t="n"/>
      <c r="L27" s="213" t="n"/>
      <c r="M27" s="213" t="n"/>
      <c r="N27" s="213" t="n"/>
      <c r="O27" s="213" t="n"/>
      <c r="P27" s="213" t="n"/>
      <c r="Q27" s="213" t="n"/>
      <c r="R27" s="213" t="n"/>
      <c r="S27" s="213" t="n"/>
      <c r="T27" s="213" t="n"/>
      <c r="U27" s="213" t="n"/>
      <c r="V27" s="213" t="n"/>
      <c r="W27" s="213" t="n"/>
      <c r="X27" s="213" t="n"/>
      <c r="Y27" s="213" t="n"/>
      <c r="Z27" s="213" t="n"/>
      <c r="AA27" s="213" t="n"/>
      <c r="AB27" s="213" t="n"/>
      <c r="AC27" s="213" t="n"/>
      <c r="AD27" s="213" t="n"/>
      <c r="AE27" s="213" t="n"/>
      <c r="AF27" s="213" t="n"/>
      <c r="AG27" s="213" t="n"/>
      <c r="AH27" s="213" t="n"/>
      <c r="AI27" s="213" t="n"/>
      <c r="AJ27" s="213" t="n"/>
      <c r="AK27" s="213" t="n"/>
      <c r="AL27" s="213" t="n"/>
      <c r="AM27" s="213" t="n"/>
      <c r="AN27" s="213" t="n"/>
      <c r="AO27" s="213" t="n"/>
      <c r="AP27" s="213" t="n"/>
      <c r="AQ27" s="213" t="n"/>
      <c r="AR27" s="213" t="n"/>
      <c r="AS27" s="213" t="n"/>
      <c r="AT27" s="213" t="n"/>
      <c r="AU27" s="213" t="n"/>
      <c r="AV27" s="213" t="n"/>
      <c r="AW27" s="213" t="n"/>
      <c r="AX27" s="213" t="n"/>
      <c r="AY27" s="213" t="n"/>
      <c r="AZ27" s="213" t="n"/>
      <c r="BA27" s="213" t="n"/>
      <c r="BB27" s="213" t="n"/>
    </row>
    <row r="28" ht="48.75" customHeight="1" s="885">
      <c r="A28" s="209" t="inlineStr">
        <is>
          <t>INT15</t>
        </is>
      </c>
      <c r="B28" s="944" t="inlineStr">
        <is>
          <t>o=nxc/(b+c)</t>
        </is>
      </c>
      <c r="C28" s="948" t="inlineStr">
        <is>
          <t>Fonds propres CET1 excédentaires appartenant aux actionnaires minoritaires</t>
        </is>
      </c>
      <c r="D28" s="215" t="n"/>
      <c r="E28" s="213" t="n"/>
      <c r="F28" s="213" t="n"/>
      <c r="G28" s="213" t="n"/>
      <c r="H28" s="213" t="n"/>
      <c r="I28" s="213" t="n"/>
      <c r="J28" s="213" t="n"/>
      <c r="K28" s="213" t="n"/>
      <c r="L28" s="213" t="n"/>
      <c r="M28" s="213" t="n"/>
      <c r="N28" s="213" t="n"/>
      <c r="O28" s="213" t="n"/>
      <c r="P28" s="213" t="n"/>
      <c r="Q28" s="213" t="n"/>
      <c r="R28" s="213" t="n"/>
      <c r="S28" s="213" t="n"/>
      <c r="T28" s="213" t="n"/>
      <c r="U28" s="213" t="n"/>
      <c r="V28" s="213" t="n"/>
      <c r="W28" s="213" t="n"/>
      <c r="X28" s="213" t="n"/>
      <c r="Y28" s="213" t="n"/>
      <c r="Z28" s="213" t="n"/>
      <c r="AA28" s="213" t="n"/>
      <c r="AB28" s="213" t="n"/>
      <c r="AC28" s="213" t="n"/>
      <c r="AD28" s="213" t="n"/>
      <c r="AE28" s="213" t="n"/>
      <c r="AF28" s="213" t="n"/>
      <c r="AG28" s="213" t="n"/>
      <c r="AH28" s="213" t="n"/>
      <c r="AI28" s="213" t="n"/>
      <c r="AJ28" s="213" t="n"/>
      <c r="AK28" s="213" t="n"/>
      <c r="AL28" s="213" t="n"/>
      <c r="AM28" s="213" t="n"/>
      <c r="AN28" s="213" t="n"/>
      <c r="AO28" s="213" t="n"/>
      <c r="AP28" s="213" t="n"/>
      <c r="AQ28" s="213" t="n"/>
      <c r="AR28" s="213" t="n"/>
      <c r="AS28" s="213" t="n"/>
      <c r="AT28" s="213" t="n"/>
      <c r="AU28" s="213" t="n"/>
      <c r="AV28" s="213" t="n"/>
      <c r="AW28" s="213" t="n"/>
      <c r="AX28" s="213" t="n"/>
      <c r="AY28" s="213" t="n"/>
      <c r="AZ28" s="213" t="n"/>
      <c r="BA28" s="213" t="n"/>
      <c r="BB28" s="213" t="n"/>
    </row>
    <row r="29" ht="48.75" customFormat="1" customHeight="1" s="208">
      <c r="A29" s="209" t="inlineStr">
        <is>
          <t>INT16</t>
        </is>
      </c>
      <c r="B29" s="953" t="inlineStr">
        <is>
          <t>p=[max (0,c-o)]</t>
        </is>
      </c>
      <c r="C29" s="954" t="inlineStr">
        <is>
          <t>Intérêts minoritaires à inclure dans le CET1 consolidé ou sous-consolidé</t>
        </is>
      </c>
      <c r="D29" s="213" t="n"/>
      <c r="E29" s="213" t="n"/>
      <c r="F29" s="213" t="n"/>
      <c r="G29" s="213" t="n"/>
      <c r="H29" s="213" t="n"/>
      <c r="I29" s="213" t="n"/>
      <c r="J29" s="213" t="n"/>
      <c r="K29" s="213" t="n"/>
      <c r="L29" s="213" t="n"/>
      <c r="M29" s="213" t="n"/>
      <c r="N29" s="213" t="n"/>
      <c r="O29" s="213" t="n"/>
      <c r="P29" s="213" t="n"/>
      <c r="Q29" s="213" t="n"/>
      <c r="R29" s="213" t="n"/>
      <c r="S29" s="213" t="n"/>
      <c r="T29" s="213" t="n"/>
      <c r="U29" s="213" t="n"/>
      <c r="V29" s="213" t="n"/>
      <c r="W29" s="213" t="n"/>
      <c r="X29" s="213" t="n"/>
      <c r="Y29" s="213" t="n"/>
      <c r="Z29" s="213" t="n"/>
      <c r="AA29" s="213" t="n"/>
      <c r="AB29" s="213" t="n"/>
      <c r="AC29" s="213" t="n"/>
      <c r="AD29" s="213" t="n"/>
      <c r="AE29" s="213" t="n"/>
      <c r="AF29" s="213" t="n"/>
      <c r="AG29" s="213" t="n"/>
      <c r="AH29" s="213" t="n"/>
      <c r="AI29" s="213" t="n"/>
      <c r="AJ29" s="213" t="n"/>
      <c r="AK29" s="213" t="n"/>
      <c r="AL29" s="213" t="n"/>
      <c r="AM29" s="213" t="n"/>
      <c r="AN29" s="213" t="n"/>
      <c r="AO29" s="213" t="n"/>
      <c r="AP29" s="213" t="n"/>
      <c r="AQ29" s="213" t="n"/>
      <c r="AR29" s="213" t="n"/>
      <c r="AS29" s="213" t="n"/>
      <c r="AT29" s="213" t="n"/>
      <c r="AU29" s="213" t="n"/>
      <c r="AV29" s="213" t="n"/>
      <c r="AW29" s="213" t="n"/>
      <c r="AX29" s="213" t="n"/>
      <c r="AY29" s="213" t="n"/>
      <c r="AZ29" s="213" t="n"/>
      <c r="BA29" s="213" t="n"/>
      <c r="BB29" s="213" t="n"/>
    </row>
    <row r="30" ht="12.75" customHeight="1" s="885">
      <c r="A30" s="218" t="n"/>
      <c r="B30" s="219" t="n"/>
      <c r="C30" s="219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L30" s="219" t="n"/>
      <c r="M30" s="219" t="n"/>
      <c r="N30" s="221" t="n"/>
      <c r="O30" s="219" t="n"/>
      <c r="P30" s="219" t="n"/>
      <c r="Q30" s="219" t="n"/>
      <c r="R30" s="219" t="n"/>
      <c r="S30" s="219" t="n"/>
      <c r="T30" s="219" t="n"/>
      <c r="U30" s="219" t="n"/>
      <c r="V30" s="219" t="n"/>
      <c r="W30" s="219" t="n"/>
      <c r="X30" s="221" t="n"/>
      <c r="Y30" s="219" t="n"/>
      <c r="Z30" s="219" t="n"/>
      <c r="AA30" s="219" t="n"/>
      <c r="AB30" s="219" t="n"/>
      <c r="AC30" s="219" t="n"/>
      <c r="AD30" s="219" t="n"/>
      <c r="AE30" s="219" t="n"/>
      <c r="AF30" s="219" t="n"/>
      <c r="AG30" s="219" t="n"/>
      <c r="AH30" s="221" t="n"/>
      <c r="AI30" s="219" t="n"/>
      <c r="AJ30" s="219" t="n"/>
      <c r="AK30" s="219" t="n"/>
      <c r="AL30" s="219" t="n"/>
      <c r="AM30" s="219" t="n"/>
      <c r="AN30" s="219" t="n"/>
      <c r="AO30" s="219" t="n"/>
      <c r="AP30" s="219" t="n"/>
      <c r="AQ30" s="219" t="n"/>
      <c r="AR30" s="221" t="n"/>
      <c r="AS30" s="219" t="n"/>
      <c r="AT30" s="219" t="n"/>
      <c r="AU30" s="219" t="n"/>
      <c r="AV30" s="219" t="n"/>
      <c r="AW30" s="219" t="n"/>
      <c r="AX30" s="219" t="n"/>
      <c r="AY30" s="219" t="n"/>
      <c r="AZ30" s="219" t="n"/>
      <c r="BA30" s="219" t="n"/>
      <c r="BB30" s="221" t="n"/>
    </row>
    <row r="31" ht="27.75" customHeight="1" s="885">
      <c r="A31" s="209" t="n"/>
      <c r="B31" s="949" t="n"/>
      <c r="C31" s="950" t="inlineStr">
        <is>
          <t xml:space="preserve">Intérêts minoritaires (AT1) </t>
        </is>
      </c>
      <c r="D31" s="951" t="n"/>
      <c r="E31" s="951" t="n"/>
      <c r="F31" s="951" t="n"/>
      <c r="G31" s="951" t="n"/>
      <c r="H31" s="951" t="n"/>
      <c r="I31" s="951" t="n"/>
      <c r="J31" s="951" t="n"/>
      <c r="K31" s="951" t="n"/>
      <c r="L31" s="951" t="n"/>
      <c r="M31" s="951" t="n"/>
      <c r="N31" s="952" t="n"/>
      <c r="O31" s="951" t="n"/>
      <c r="P31" s="951" t="n"/>
      <c r="Q31" s="951" t="n"/>
      <c r="R31" s="951" t="n"/>
      <c r="S31" s="951" t="n"/>
      <c r="T31" s="951" t="n"/>
      <c r="U31" s="951" t="n"/>
      <c r="V31" s="951" t="n"/>
      <c r="W31" s="951" t="n"/>
      <c r="X31" s="952" t="n"/>
      <c r="Y31" s="951" t="n"/>
      <c r="Z31" s="951" t="n"/>
      <c r="AA31" s="951" t="n"/>
      <c r="AB31" s="951" t="n"/>
      <c r="AC31" s="951" t="n"/>
      <c r="AD31" s="951" t="n"/>
      <c r="AE31" s="951" t="n"/>
      <c r="AF31" s="951" t="n"/>
      <c r="AG31" s="951" t="n"/>
      <c r="AH31" s="952" t="n"/>
      <c r="AI31" s="951" t="n"/>
      <c r="AJ31" s="951" t="n"/>
      <c r="AK31" s="951" t="n"/>
      <c r="AL31" s="951" t="n"/>
      <c r="AM31" s="951" t="n"/>
      <c r="AN31" s="951" t="n"/>
      <c r="AO31" s="951" t="n"/>
      <c r="AP31" s="951" t="n"/>
      <c r="AQ31" s="951" t="n"/>
      <c r="AR31" s="952" t="n"/>
      <c r="AS31" s="951" t="n"/>
      <c r="AT31" s="951" t="n"/>
      <c r="AU31" s="951" t="n"/>
      <c r="AV31" s="951" t="n"/>
      <c r="AW31" s="951" t="n"/>
      <c r="AX31" s="951" t="n"/>
      <c r="AY31" s="951" t="n"/>
      <c r="AZ31" s="951" t="n"/>
      <c r="BA31" s="951" t="n"/>
      <c r="BB31" s="952" t="n"/>
    </row>
    <row r="32" ht="60.75" customHeight="1" s="885">
      <c r="A32" s="209" t="inlineStr">
        <is>
          <t>INT17</t>
        </is>
      </c>
      <c r="B32" s="944" t="inlineStr">
        <is>
          <t>q=jxratio**</t>
        </is>
      </c>
      <c r="C32" s="947" t="inlineStr">
        <is>
          <t>Exigence minimale de fonds propres T1 de la filiale (incluant le coussin de conservation)</t>
        </is>
      </c>
      <c r="D32" s="215" t="n"/>
      <c r="E32" s="213" t="n"/>
      <c r="F32" s="213" t="n"/>
      <c r="G32" s="213" t="n"/>
      <c r="H32" s="213" t="n"/>
      <c r="I32" s="213" t="n"/>
      <c r="J32" s="213" t="n"/>
      <c r="K32" s="213" t="n"/>
      <c r="L32" s="213" t="n"/>
      <c r="M32" s="213" t="n"/>
      <c r="N32" s="213" t="n"/>
      <c r="O32" s="213" t="n"/>
      <c r="P32" s="213" t="n"/>
      <c r="Q32" s="213" t="n"/>
      <c r="R32" s="213" t="n"/>
      <c r="S32" s="213" t="n"/>
      <c r="T32" s="213" t="n"/>
      <c r="U32" s="213" t="n"/>
      <c r="V32" s="213" t="n"/>
      <c r="W32" s="213" t="n"/>
      <c r="X32" s="213" t="n"/>
      <c r="Y32" s="213" t="n"/>
      <c r="Z32" s="213" t="n"/>
      <c r="AA32" s="213" t="n"/>
      <c r="AB32" s="213" t="n"/>
      <c r="AC32" s="213" t="n"/>
      <c r="AD32" s="213" t="n"/>
      <c r="AE32" s="213" t="n"/>
      <c r="AF32" s="213" t="n"/>
      <c r="AG32" s="213" t="n"/>
      <c r="AH32" s="213" t="n"/>
      <c r="AI32" s="213" t="n"/>
      <c r="AJ32" s="213" t="n"/>
      <c r="AK32" s="213" t="n"/>
      <c r="AL32" s="213" t="n"/>
      <c r="AM32" s="213" t="n"/>
      <c r="AN32" s="213" t="n"/>
      <c r="AO32" s="213" t="n"/>
      <c r="AP32" s="213" t="n"/>
      <c r="AQ32" s="213" t="n"/>
      <c r="AR32" s="213" t="n"/>
      <c r="AS32" s="213" t="n"/>
      <c r="AT32" s="213" t="n"/>
      <c r="AU32" s="213" t="n"/>
      <c r="AV32" s="213" t="n"/>
      <c r="AW32" s="213" t="n"/>
      <c r="AX32" s="213" t="n"/>
      <c r="AY32" s="213" t="n"/>
      <c r="AZ32" s="213" t="n"/>
      <c r="BA32" s="213" t="n"/>
      <c r="BB32" s="213" t="n"/>
    </row>
    <row r="33" ht="71.25" customHeight="1" s="885">
      <c r="A33" s="209" t="inlineStr">
        <is>
          <t>INT18</t>
        </is>
      </c>
      <c r="B33" s="944" t="inlineStr">
        <is>
          <t>r=kxratio**</t>
        </is>
      </c>
      <c r="C33" s="947" t="inlineStr">
        <is>
          <t>Part de la filiale dans les exigences minimales de fonds propres T1 du groupe consolidé (incluant le coussin de conservation)</t>
        </is>
      </c>
      <c r="D33" s="215" t="n"/>
      <c r="E33" s="213" t="n"/>
      <c r="F33" s="213" t="n"/>
      <c r="G33" s="213" t="n"/>
      <c r="H33" s="213" t="n"/>
      <c r="I33" s="213" t="n"/>
      <c r="J33" s="213" t="n"/>
      <c r="K33" s="213" t="n"/>
      <c r="L33" s="213" t="n"/>
      <c r="M33" s="213" t="n"/>
      <c r="N33" s="213" t="n"/>
      <c r="O33" s="213" t="n"/>
      <c r="P33" s="213" t="n"/>
      <c r="Q33" s="213" t="n"/>
      <c r="R33" s="213" t="n"/>
      <c r="S33" s="213" t="n"/>
      <c r="T33" s="213" t="n"/>
      <c r="U33" s="213" t="n"/>
      <c r="V33" s="213" t="n"/>
      <c r="W33" s="213" t="n"/>
      <c r="X33" s="213" t="n"/>
      <c r="Y33" s="213" t="n"/>
      <c r="Z33" s="213" t="n"/>
      <c r="AA33" s="213" t="n"/>
      <c r="AB33" s="213" t="n"/>
      <c r="AC33" s="213" t="n"/>
      <c r="AD33" s="213" t="n"/>
      <c r="AE33" s="213" t="n"/>
      <c r="AF33" s="213" t="n"/>
      <c r="AG33" s="213" t="n"/>
      <c r="AH33" s="213" t="n"/>
      <c r="AI33" s="213" t="n"/>
      <c r="AJ33" s="213" t="n"/>
      <c r="AK33" s="213" t="n"/>
      <c r="AL33" s="213" t="n"/>
      <c r="AM33" s="213" t="n"/>
      <c r="AN33" s="213" t="n"/>
      <c r="AO33" s="213" t="n"/>
      <c r="AP33" s="213" t="n"/>
      <c r="AQ33" s="213" t="n"/>
      <c r="AR33" s="213" t="n"/>
      <c r="AS33" s="213" t="n"/>
      <c r="AT33" s="213" t="n"/>
      <c r="AU33" s="213" t="n"/>
      <c r="AV33" s="213" t="n"/>
      <c r="AW33" s="213" t="n"/>
      <c r="AX33" s="213" t="n"/>
      <c r="AY33" s="213" t="n"/>
      <c r="AZ33" s="213" t="n"/>
      <c r="BA33" s="213" t="n"/>
      <c r="BB33" s="213" t="n"/>
    </row>
    <row r="34" ht="44.25" customHeight="1" s="885">
      <c r="A34" s="209" t="inlineStr">
        <is>
          <t>INT19</t>
        </is>
      </c>
      <c r="B34" s="944" t="inlineStr">
        <is>
          <t>s=d-[min(q,r)]</t>
        </is>
      </c>
      <c r="C34" s="948" t="inlineStr">
        <is>
          <t>Fonds propres T1 excédentaires de la filiale</t>
        </is>
      </c>
      <c r="D34" s="215" t="n"/>
      <c r="E34" s="213" t="n"/>
      <c r="F34" s="213" t="n"/>
      <c r="G34" s="213" t="n"/>
      <c r="H34" s="213" t="n"/>
      <c r="I34" s="213" t="n"/>
      <c r="J34" s="213" t="n"/>
      <c r="K34" s="213" t="n"/>
      <c r="L34" s="213" t="n"/>
      <c r="M34" s="213" t="n"/>
      <c r="N34" s="213" t="n"/>
      <c r="O34" s="213" t="n"/>
      <c r="P34" s="213" t="n"/>
      <c r="Q34" s="213" t="n"/>
      <c r="R34" s="213" t="n"/>
      <c r="S34" s="213" t="n"/>
      <c r="T34" s="213" t="n"/>
      <c r="U34" s="213" t="n"/>
      <c r="V34" s="213" t="n"/>
      <c r="W34" s="213" t="n"/>
      <c r="X34" s="213" t="n"/>
      <c r="Y34" s="213" t="n"/>
      <c r="Z34" s="213" t="n"/>
      <c r="AA34" s="213" t="n"/>
      <c r="AB34" s="213" t="n"/>
      <c r="AC34" s="213" t="n"/>
      <c r="AD34" s="213" t="n"/>
      <c r="AE34" s="213" t="n"/>
      <c r="AF34" s="213" t="n"/>
      <c r="AG34" s="213" t="n"/>
      <c r="AH34" s="213" t="n"/>
      <c r="AI34" s="213" t="n"/>
      <c r="AJ34" s="213" t="n"/>
      <c r="AK34" s="213" t="n"/>
      <c r="AL34" s="213" t="n"/>
      <c r="AM34" s="213" t="n"/>
      <c r="AN34" s="213" t="n"/>
      <c r="AO34" s="213" t="n"/>
      <c r="AP34" s="213" t="n"/>
      <c r="AQ34" s="213" t="n"/>
      <c r="AR34" s="213" t="n"/>
      <c r="AS34" s="213" t="n"/>
      <c r="AT34" s="213" t="n"/>
      <c r="AU34" s="213" t="n"/>
      <c r="AV34" s="213" t="n"/>
      <c r="AW34" s="213" t="n"/>
      <c r="AX34" s="213" t="n"/>
      <c r="AY34" s="213" t="n"/>
      <c r="AZ34" s="213" t="n"/>
      <c r="BA34" s="213" t="n"/>
      <c r="BB34" s="213" t="n"/>
    </row>
    <row r="35" ht="44.25" customHeight="1" s="885">
      <c r="A35" s="209" t="inlineStr">
        <is>
          <t>INT20</t>
        </is>
      </c>
      <c r="B35" s="944" t="inlineStr">
        <is>
          <t>t=sxf/(e+f)</t>
        </is>
      </c>
      <c r="C35" s="948" t="inlineStr">
        <is>
          <t>Fonds propres T1 excédentaires appartenant aux actionnaires minoritaires</t>
        </is>
      </c>
      <c r="D35" s="215" t="n"/>
      <c r="E35" s="213" t="n"/>
      <c r="F35" s="213" t="n"/>
      <c r="G35" s="213" t="n"/>
      <c r="H35" s="213" t="n"/>
      <c r="I35" s="213" t="n"/>
      <c r="J35" s="213" t="n"/>
      <c r="K35" s="213" t="n"/>
      <c r="L35" s="213" t="n"/>
      <c r="M35" s="213" t="n"/>
      <c r="N35" s="213" t="n"/>
      <c r="O35" s="213" t="n"/>
      <c r="P35" s="213" t="n"/>
      <c r="Q35" s="213" t="n"/>
      <c r="R35" s="213" t="n"/>
      <c r="S35" s="213" t="n"/>
      <c r="T35" s="213" t="n"/>
      <c r="U35" s="213" t="n"/>
      <c r="V35" s="213" t="n"/>
      <c r="W35" s="213" t="n"/>
      <c r="X35" s="213" t="n"/>
      <c r="Y35" s="213" t="n"/>
      <c r="Z35" s="213" t="n"/>
      <c r="AA35" s="213" t="n"/>
      <c r="AB35" s="213" t="n"/>
      <c r="AC35" s="213" t="n"/>
      <c r="AD35" s="213" t="n"/>
      <c r="AE35" s="213" t="n"/>
      <c r="AF35" s="213" t="n"/>
      <c r="AG35" s="213" t="n"/>
      <c r="AH35" s="213" t="n"/>
      <c r="AI35" s="213" t="n"/>
      <c r="AJ35" s="213" t="n"/>
      <c r="AK35" s="213" t="n"/>
      <c r="AL35" s="213" t="n"/>
      <c r="AM35" s="213" t="n"/>
      <c r="AN35" s="213" t="n"/>
      <c r="AO35" s="213" t="n"/>
      <c r="AP35" s="213" t="n"/>
      <c r="AQ35" s="213" t="n"/>
      <c r="AR35" s="213" t="n"/>
      <c r="AS35" s="213" t="n"/>
      <c r="AT35" s="213" t="n"/>
      <c r="AU35" s="213" t="n"/>
      <c r="AV35" s="213" t="n"/>
      <c r="AW35" s="213" t="n"/>
      <c r="AX35" s="213" t="n"/>
      <c r="AY35" s="213" t="n"/>
      <c r="AZ35" s="213" t="n"/>
      <c r="BA35" s="213" t="n"/>
      <c r="BB35" s="213" t="n"/>
    </row>
    <row r="36" ht="44.25" customHeight="1" s="885">
      <c r="A36" s="209" t="inlineStr">
        <is>
          <t>INT21</t>
        </is>
      </c>
      <c r="B36" s="944" t="inlineStr">
        <is>
          <t>u=[max (0,f-t)]</t>
        </is>
      </c>
      <c r="C36" s="948" t="inlineStr">
        <is>
          <t>Intérêts minoritaires à inclure dans le T1 consolidé ou sous-consolidé</t>
        </is>
      </c>
      <c r="D36" s="215" t="n"/>
      <c r="E36" s="213" t="n"/>
      <c r="F36" s="213" t="n"/>
      <c r="G36" s="213" t="n"/>
      <c r="H36" s="213" t="n"/>
      <c r="I36" s="213" t="n"/>
      <c r="J36" s="213" t="n"/>
      <c r="K36" s="213" t="n"/>
      <c r="L36" s="213" t="n"/>
      <c r="M36" s="213" t="n"/>
      <c r="N36" s="213" t="n"/>
      <c r="O36" s="213" t="n"/>
      <c r="P36" s="213" t="n"/>
      <c r="Q36" s="213" t="n"/>
      <c r="R36" s="213" t="n"/>
      <c r="S36" s="213" t="n"/>
      <c r="T36" s="213" t="n"/>
      <c r="U36" s="213" t="n"/>
      <c r="V36" s="213" t="n"/>
      <c r="W36" s="213" t="n"/>
      <c r="X36" s="213" t="n"/>
      <c r="Y36" s="213" t="n"/>
      <c r="Z36" s="213" t="n"/>
      <c r="AA36" s="213" t="n"/>
      <c r="AB36" s="213" t="n"/>
      <c r="AC36" s="213" t="n"/>
      <c r="AD36" s="213" t="n"/>
      <c r="AE36" s="213" t="n"/>
      <c r="AF36" s="213" t="n"/>
      <c r="AG36" s="213" t="n"/>
      <c r="AH36" s="213" t="n"/>
      <c r="AI36" s="213" t="n"/>
      <c r="AJ36" s="213" t="n"/>
      <c r="AK36" s="213" t="n"/>
      <c r="AL36" s="213" t="n"/>
      <c r="AM36" s="213" t="n"/>
      <c r="AN36" s="213" t="n"/>
      <c r="AO36" s="213" t="n"/>
      <c r="AP36" s="213" t="n"/>
      <c r="AQ36" s="213" t="n"/>
      <c r="AR36" s="213" t="n"/>
      <c r="AS36" s="213" t="n"/>
      <c r="AT36" s="213" t="n"/>
      <c r="AU36" s="213" t="n"/>
      <c r="AV36" s="213" t="n"/>
      <c r="AW36" s="213" t="n"/>
      <c r="AX36" s="213" t="n"/>
      <c r="AY36" s="213" t="n"/>
      <c r="AZ36" s="213" t="n"/>
      <c r="BA36" s="213" t="n"/>
      <c r="BB36" s="213" t="n"/>
    </row>
    <row r="37" ht="44.25" customHeight="1" s="885">
      <c r="A37" s="209" t="inlineStr">
        <is>
          <t>INT22</t>
        </is>
      </c>
      <c r="B37" s="953" t="inlineStr">
        <is>
          <t>v=u-p</t>
        </is>
      </c>
      <c r="C37" s="954" t="inlineStr">
        <is>
          <t>Intérêts minoritaires à inclure dans l'AT1 consolidé ou sous-consolidé</t>
        </is>
      </c>
      <c r="D37" s="213" t="n"/>
      <c r="E37" s="213" t="n"/>
      <c r="F37" s="213" t="n"/>
      <c r="G37" s="213" t="n"/>
      <c r="H37" s="213" t="n"/>
      <c r="I37" s="213" t="n"/>
      <c r="J37" s="213" t="n"/>
      <c r="K37" s="213" t="n"/>
      <c r="L37" s="213" t="n"/>
      <c r="M37" s="213" t="n"/>
      <c r="N37" s="213" t="n"/>
      <c r="O37" s="213" t="n"/>
      <c r="P37" s="213" t="n"/>
      <c r="Q37" s="213" t="n"/>
      <c r="R37" s="213" t="n"/>
      <c r="S37" s="213" t="n"/>
      <c r="T37" s="213" t="n"/>
      <c r="U37" s="213" t="n"/>
      <c r="V37" s="213" t="n"/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  <c r="AY37" s="213" t="n"/>
      <c r="AZ37" s="213" t="n"/>
      <c r="BA37" s="213" t="n"/>
      <c r="BB37" s="213" t="n"/>
    </row>
    <row r="38" ht="12.75" customHeight="1" s="885">
      <c r="A38" s="218" t="n"/>
      <c r="B38" s="219" t="n"/>
      <c r="C38" s="219" t="n"/>
      <c r="D38" s="219" t="n"/>
      <c r="E38" s="219" t="n"/>
      <c r="F38" s="219" t="n"/>
      <c r="G38" s="219" t="n"/>
      <c r="H38" s="219" t="n"/>
      <c r="I38" s="219" t="n"/>
      <c r="J38" s="219" t="n"/>
      <c r="K38" s="219" t="n"/>
      <c r="L38" s="219" t="n"/>
      <c r="M38" s="219" t="n"/>
      <c r="N38" s="221" t="n"/>
      <c r="O38" s="219" t="n"/>
      <c r="P38" s="219" t="n"/>
      <c r="Q38" s="219" t="n"/>
      <c r="R38" s="219" t="n"/>
      <c r="S38" s="219" t="n"/>
      <c r="T38" s="219" t="n"/>
      <c r="U38" s="219" t="n"/>
      <c r="V38" s="219" t="n"/>
      <c r="W38" s="219" t="n"/>
      <c r="X38" s="221" t="n"/>
      <c r="Y38" s="219" t="n"/>
      <c r="Z38" s="219" t="n"/>
      <c r="AA38" s="219" t="n"/>
      <c r="AB38" s="219" t="n"/>
      <c r="AC38" s="219" t="n"/>
      <c r="AD38" s="219" t="n"/>
      <c r="AE38" s="219" t="n"/>
      <c r="AF38" s="219" t="n"/>
      <c r="AG38" s="219" t="n"/>
      <c r="AH38" s="221" t="n"/>
      <c r="AI38" s="219" t="n"/>
      <c r="AJ38" s="219" t="n"/>
      <c r="AK38" s="219" t="n"/>
      <c r="AL38" s="219" t="n"/>
      <c r="AM38" s="219" t="n"/>
      <c r="AN38" s="219" t="n"/>
      <c r="AO38" s="219" t="n"/>
      <c r="AP38" s="219" t="n"/>
      <c r="AQ38" s="219" t="n"/>
      <c r="AR38" s="221" t="n"/>
      <c r="AS38" s="219" t="n"/>
      <c r="AT38" s="219" t="n"/>
      <c r="AU38" s="219" t="n"/>
      <c r="AV38" s="219" t="n"/>
      <c r="AW38" s="219" t="n"/>
      <c r="AX38" s="219" t="n"/>
      <c r="AY38" s="219" t="n"/>
      <c r="AZ38" s="219" t="n"/>
      <c r="BA38" s="219" t="n"/>
      <c r="BB38" s="221" t="n"/>
    </row>
    <row r="39" ht="27.75" customHeight="1" s="885">
      <c r="A39" s="209" t="n"/>
      <c r="B39" s="949" t="n"/>
      <c r="C39" s="950" t="inlineStr">
        <is>
          <t xml:space="preserve">Intérêts minoritaires (T2) </t>
        </is>
      </c>
      <c r="D39" s="951" t="n"/>
      <c r="E39" s="951" t="n"/>
      <c r="F39" s="951" t="n"/>
      <c r="G39" s="951" t="n"/>
      <c r="H39" s="951" t="n"/>
      <c r="I39" s="951" t="n"/>
      <c r="J39" s="951" t="n"/>
      <c r="K39" s="951" t="n"/>
      <c r="L39" s="951" t="n"/>
      <c r="M39" s="951" t="n"/>
      <c r="N39" s="952" t="n"/>
      <c r="O39" s="951" t="n"/>
      <c r="P39" s="951" t="n"/>
      <c r="Q39" s="951" t="n"/>
      <c r="R39" s="951" t="n"/>
      <c r="S39" s="951" t="n"/>
      <c r="T39" s="951" t="n"/>
      <c r="U39" s="951" t="n"/>
      <c r="V39" s="951" t="n"/>
      <c r="W39" s="951" t="n"/>
      <c r="X39" s="952" t="n"/>
      <c r="Y39" s="951" t="n"/>
      <c r="Z39" s="951" t="n"/>
      <c r="AA39" s="951" t="n"/>
      <c r="AB39" s="951" t="n"/>
      <c r="AC39" s="951" t="n"/>
      <c r="AD39" s="951" t="n"/>
      <c r="AE39" s="951" t="n"/>
      <c r="AF39" s="951" t="n"/>
      <c r="AG39" s="951" t="n"/>
      <c r="AH39" s="952" t="n"/>
      <c r="AI39" s="951" t="n"/>
      <c r="AJ39" s="951" t="n"/>
      <c r="AK39" s="951" t="n"/>
      <c r="AL39" s="951" t="n"/>
      <c r="AM39" s="951" t="n"/>
      <c r="AN39" s="951" t="n"/>
      <c r="AO39" s="951" t="n"/>
      <c r="AP39" s="951" t="n"/>
      <c r="AQ39" s="951" t="n"/>
      <c r="AR39" s="952" t="n"/>
      <c r="AS39" s="951" t="n"/>
      <c r="AT39" s="951" t="n"/>
      <c r="AU39" s="951" t="n"/>
      <c r="AV39" s="951" t="n"/>
      <c r="AW39" s="951" t="n"/>
      <c r="AX39" s="951" t="n"/>
      <c r="AY39" s="951" t="n"/>
      <c r="AZ39" s="951" t="n"/>
      <c r="BA39" s="951" t="n"/>
      <c r="BB39" s="952" t="n"/>
    </row>
    <row r="40" ht="55.5" customHeight="1" s="885">
      <c r="A40" s="209" t="inlineStr">
        <is>
          <t>INT23</t>
        </is>
      </c>
      <c r="B40" s="944" t="inlineStr">
        <is>
          <t>w=jxratio***</t>
        </is>
      </c>
      <c r="C40" s="947" t="inlineStr">
        <is>
          <t>Exigence minimale de fonds propres de la filiale (incluant le coussin de conservation)</t>
        </is>
      </c>
      <c r="D40" s="215" t="n"/>
      <c r="E40" s="213" t="n"/>
      <c r="F40" s="213" t="n"/>
      <c r="G40" s="213" t="n"/>
      <c r="H40" s="213" t="n"/>
      <c r="I40" s="213" t="n"/>
      <c r="J40" s="213" t="n"/>
      <c r="K40" s="213" t="n"/>
      <c r="L40" s="213" t="n"/>
      <c r="M40" s="213" t="n"/>
      <c r="N40" s="213" t="n"/>
      <c r="O40" s="213" t="n"/>
      <c r="P40" s="213" t="n"/>
      <c r="Q40" s="213" t="n"/>
      <c r="R40" s="213" t="n"/>
      <c r="S40" s="213" t="n"/>
      <c r="T40" s="213" t="n"/>
      <c r="U40" s="213" t="n"/>
      <c r="V40" s="213" t="n"/>
      <c r="W40" s="213" t="n"/>
      <c r="X40" s="213" t="n"/>
      <c r="Y40" s="213" t="n"/>
      <c r="Z40" s="213" t="n"/>
      <c r="AA40" s="213" t="n"/>
      <c r="AB40" s="213" t="n"/>
      <c r="AC40" s="213" t="n"/>
      <c r="AD40" s="213" t="n"/>
      <c r="AE40" s="213" t="n"/>
      <c r="AF40" s="213" t="n"/>
      <c r="AG40" s="213" t="n"/>
      <c r="AH40" s="213" t="n"/>
      <c r="AI40" s="213" t="n"/>
      <c r="AJ40" s="213" t="n"/>
      <c r="AK40" s="213" t="n"/>
      <c r="AL40" s="213" t="n"/>
      <c r="AM40" s="213" t="n"/>
      <c r="AN40" s="213" t="n"/>
      <c r="AO40" s="213" t="n"/>
      <c r="AP40" s="213" t="n"/>
      <c r="AQ40" s="213" t="n"/>
      <c r="AR40" s="213" t="n"/>
      <c r="AS40" s="213" t="n"/>
      <c r="AT40" s="213" t="n"/>
      <c r="AU40" s="213" t="n"/>
      <c r="AV40" s="213" t="n"/>
      <c r="AW40" s="213" t="n"/>
      <c r="AX40" s="213" t="n"/>
      <c r="AY40" s="213" t="n"/>
      <c r="AZ40" s="213" t="n"/>
      <c r="BA40" s="213" t="n"/>
      <c r="BB40" s="213" t="n"/>
    </row>
    <row r="41" ht="70.5" customHeight="1" s="885">
      <c r="A41" s="209" t="inlineStr">
        <is>
          <t>INT24</t>
        </is>
      </c>
      <c r="B41" s="944" t="inlineStr">
        <is>
          <t>x=kxratio***</t>
        </is>
      </c>
      <c r="C41" s="947" t="inlineStr">
        <is>
          <t>Part de la filiale dans les exigences minimales de fonds propres totaux du groupe consolidé (incluant le coussin de conservation)</t>
        </is>
      </c>
      <c r="D41" s="215" t="n"/>
      <c r="E41" s="213" t="n"/>
      <c r="F41" s="213" t="n"/>
      <c r="G41" s="213" t="n"/>
      <c r="H41" s="213" t="n"/>
      <c r="I41" s="213" t="n"/>
      <c r="J41" s="213" t="n"/>
      <c r="K41" s="213" t="n"/>
      <c r="L41" s="213" t="n"/>
      <c r="M41" s="213" t="n"/>
      <c r="N41" s="213" t="n"/>
      <c r="O41" s="213" t="n"/>
      <c r="P41" s="213" t="n"/>
      <c r="Q41" s="213" t="n"/>
      <c r="R41" s="213" t="n"/>
      <c r="S41" s="213" t="n"/>
      <c r="T41" s="213" t="n"/>
      <c r="U41" s="213" t="n"/>
      <c r="V41" s="213" t="n"/>
      <c r="W41" s="213" t="n"/>
      <c r="X41" s="213" t="n"/>
      <c r="Y41" s="213" t="n"/>
      <c r="Z41" s="213" t="n"/>
      <c r="AA41" s="213" t="n"/>
      <c r="AB41" s="213" t="n"/>
      <c r="AC41" s="213" t="n"/>
      <c r="AD41" s="213" t="n"/>
      <c r="AE41" s="213" t="n"/>
      <c r="AF41" s="213" t="n"/>
      <c r="AG41" s="213" t="n"/>
      <c r="AH41" s="213" t="n"/>
      <c r="AI41" s="213" t="n"/>
      <c r="AJ41" s="213" t="n"/>
      <c r="AK41" s="213" t="n"/>
      <c r="AL41" s="213" t="n"/>
      <c r="AM41" s="213" t="n"/>
      <c r="AN41" s="213" t="n"/>
      <c r="AO41" s="213" t="n"/>
      <c r="AP41" s="213" t="n"/>
      <c r="AQ41" s="213" t="n"/>
      <c r="AR41" s="213" t="n"/>
      <c r="AS41" s="213" t="n"/>
      <c r="AT41" s="213" t="n"/>
      <c r="AU41" s="213" t="n"/>
      <c r="AV41" s="213" t="n"/>
      <c r="AW41" s="213" t="n"/>
      <c r="AX41" s="213" t="n"/>
      <c r="AY41" s="213" t="n"/>
      <c r="AZ41" s="213" t="n"/>
      <c r="BA41" s="213" t="n"/>
      <c r="BB41" s="213" t="n"/>
    </row>
    <row r="42" ht="48" customHeight="1" s="885">
      <c r="A42" s="209" t="inlineStr">
        <is>
          <t>INT25</t>
        </is>
      </c>
      <c r="B42" s="944" t="inlineStr">
        <is>
          <t>y=g-[min(w,x)]</t>
        </is>
      </c>
      <c r="C42" s="948" t="inlineStr">
        <is>
          <t>Fonds propres totaux excédentaires de la filiale</t>
        </is>
      </c>
      <c r="D42" s="215" t="n"/>
      <c r="E42" s="213" t="n"/>
      <c r="F42" s="213" t="n"/>
      <c r="G42" s="213" t="n"/>
      <c r="H42" s="213" t="n"/>
      <c r="I42" s="213" t="n"/>
      <c r="J42" s="213" t="n"/>
      <c r="K42" s="213" t="n"/>
      <c r="L42" s="213" t="n"/>
      <c r="M42" s="213" t="n"/>
      <c r="N42" s="213" t="n"/>
      <c r="O42" s="213" t="n"/>
      <c r="P42" s="213" t="n"/>
      <c r="Q42" s="213" t="n"/>
      <c r="R42" s="213" t="n"/>
      <c r="S42" s="213" t="n"/>
      <c r="T42" s="213" t="n"/>
      <c r="U42" s="213" t="n"/>
      <c r="V42" s="213" t="n"/>
      <c r="W42" s="213" t="n"/>
      <c r="X42" s="213" t="n"/>
      <c r="Y42" s="213" t="n"/>
      <c r="Z42" s="213" t="n"/>
      <c r="AA42" s="213" t="n"/>
      <c r="AB42" s="213" t="n"/>
      <c r="AC42" s="213" t="n"/>
      <c r="AD42" s="213" t="n"/>
      <c r="AE42" s="213" t="n"/>
      <c r="AF42" s="213" t="n"/>
      <c r="AG42" s="213" t="n"/>
      <c r="AH42" s="213" t="n"/>
      <c r="AI42" s="213" t="n"/>
      <c r="AJ42" s="213" t="n"/>
      <c r="AK42" s="213" t="n"/>
      <c r="AL42" s="213" t="n"/>
      <c r="AM42" s="213" t="n"/>
      <c r="AN42" s="213" t="n"/>
      <c r="AO42" s="213" t="n"/>
      <c r="AP42" s="213" t="n"/>
      <c r="AQ42" s="213" t="n"/>
      <c r="AR42" s="213" t="n"/>
      <c r="AS42" s="213" t="n"/>
      <c r="AT42" s="213" t="n"/>
      <c r="AU42" s="213" t="n"/>
      <c r="AV42" s="213" t="n"/>
      <c r="AW42" s="213" t="n"/>
      <c r="AX42" s="213" t="n"/>
      <c r="AY42" s="213" t="n"/>
      <c r="AZ42" s="213" t="n"/>
      <c r="BA42" s="213" t="n"/>
      <c r="BB42" s="213" t="n"/>
    </row>
    <row r="43" ht="55.5" customHeight="1" s="885">
      <c r="A43" s="209" t="inlineStr">
        <is>
          <t>INT26</t>
        </is>
      </c>
      <c r="B43" s="944" t="inlineStr">
        <is>
          <t>z=yxi/(h+i)</t>
        </is>
      </c>
      <c r="C43" s="948" t="inlineStr">
        <is>
          <t>Fonds propres totaux excédentaires appartenant aux actionnaires minoritaires</t>
        </is>
      </c>
      <c r="D43" s="215" t="n"/>
      <c r="E43" s="213" t="n"/>
      <c r="F43" s="213" t="n"/>
      <c r="G43" s="213" t="n"/>
      <c r="H43" s="213" t="n"/>
      <c r="I43" s="213" t="n"/>
      <c r="J43" s="213" t="n"/>
      <c r="K43" s="213" t="n"/>
      <c r="L43" s="213" t="n"/>
      <c r="M43" s="213" t="n"/>
      <c r="N43" s="213" t="n"/>
      <c r="O43" s="213" t="n"/>
      <c r="P43" s="213" t="n"/>
      <c r="Q43" s="213" t="n"/>
      <c r="R43" s="213" t="n"/>
      <c r="S43" s="213" t="n"/>
      <c r="T43" s="213" t="n"/>
      <c r="U43" s="213" t="n"/>
      <c r="V43" s="213" t="n"/>
      <c r="W43" s="213" t="n"/>
      <c r="X43" s="213" t="n"/>
      <c r="Y43" s="213" t="n"/>
      <c r="Z43" s="213" t="n"/>
      <c r="AA43" s="213" t="n"/>
      <c r="AB43" s="213" t="n"/>
      <c r="AC43" s="213" t="n"/>
      <c r="AD43" s="213" t="n"/>
      <c r="AE43" s="213" t="n"/>
      <c r="AF43" s="213" t="n"/>
      <c r="AG43" s="213" t="n"/>
      <c r="AH43" s="213" t="n"/>
      <c r="AI43" s="213" t="n"/>
      <c r="AJ43" s="213" t="n"/>
      <c r="AK43" s="213" t="n"/>
      <c r="AL43" s="213" t="n"/>
      <c r="AM43" s="213" t="n"/>
      <c r="AN43" s="213" t="n"/>
      <c r="AO43" s="213" t="n"/>
      <c r="AP43" s="213" t="n"/>
      <c r="AQ43" s="213" t="n"/>
      <c r="AR43" s="213" t="n"/>
      <c r="AS43" s="213" t="n"/>
      <c r="AT43" s="213" t="n"/>
      <c r="AU43" s="213" t="n"/>
      <c r="AV43" s="213" t="n"/>
      <c r="AW43" s="213" t="n"/>
      <c r="AX43" s="213" t="n"/>
      <c r="AY43" s="213" t="n"/>
      <c r="AZ43" s="213" t="n"/>
      <c r="BA43" s="213" t="n"/>
      <c r="BB43" s="213" t="n"/>
    </row>
    <row r="44" ht="60" customHeight="1" s="885">
      <c r="A44" s="209" t="inlineStr">
        <is>
          <t>INT27</t>
        </is>
      </c>
      <c r="B44" s="944" t="inlineStr">
        <is>
          <t>aa=[max (0,i-z)]</t>
        </is>
      </c>
      <c r="C44" s="948" t="inlineStr">
        <is>
          <t>Intérêts minoritaires à inclure dans les fonds propres totaux consolidés ou sous-consolidés</t>
        </is>
      </c>
      <c r="D44" s="215" t="n"/>
      <c r="E44" s="213" t="n"/>
      <c r="F44" s="213" t="n"/>
      <c r="G44" s="213" t="n"/>
      <c r="H44" s="213" t="n"/>
      <c r="I44" s="213" t="n"/>
      <c r="J44" s="213" t="n"/>
      <c r="K44" s="213" t="n"/>
      <c r="L44" s="213" t="n"/>
      <c r="M44" s="213" t="n"/>
      <c r="N44" s="213" t="n"/>
      <c r="O44" s="213" t="n"/>
      <c r="P44" s="213" t="n"/>
      <c r="Q44" s="213" t="n"/>
      <c r="R44" s="213" t="n"/>
      <c r="S44" s="213" t="n"/>
      <c r="T44" s="213" t="n"/>
      <c r="U44" s="213" t="n"/>
      <c r="V44" s="213" t="n"/>
      <c r="W44" s="213" t="n"/>
      <c r="X44" s="213" t="n"/>
      <c r="Y44" s="213" t="n"/>
      <c r="Z44" s="213" t="n"/>
      <c r="AA44" s="213" t="n"/>
      <c r="AB44" s="213" t="n"/>
      <c r="AC44" s="213" t="n"/>
      <c r="AD44" s="213" t="n"/>
      <c r="AE44" s="213" t="n"/>
      <c r="AF44" s="213" t="n"/>
      <c r="AG44" s="213" t="n"/>
      <c r="AH44" s="213" t="n"/>
      <c r="AI44" s="213" t="n"/>
      <c r="AJ44" s="213" t="n"/>
      <c r="AK44" s="213" t="n"/>
      <c r="AL44" s="213" t="n"/>
      <c r="AM44" s="213" t="n"/>
      <c r="AN44" s="213" t="n"/>
      <c r="AO44" s="213" t="n"/>
      <c r="AP44" s="213" t="n"/>
      <c r="AQ44" s="213" t="n"/>
      <c r="AR44" s="213" t="n"/>
      <c r="AS44" s="213" t="n"/>
      <c r="AT44" s="213" t="n"/>
      <c r="AU44" s="213" t="n"/>
      <c r="AV44" s="213" t="n"/>
      <c r="AW44" s="213" t="n"/>
      <c r="AX44" s="213" t="n"/>
      <c r="AY44" s="213" t="n"/>
      <c r="AZ44" s="213" t="n"/>
      <c r="BA44" s="213" t="n"/>
      <c r="BB44" s="213" t="n"/>
    </row>
    <row r="45" ht="48" customHeight="1" s="885">
      <c r="A45" s="209" t="inlineStr">
        <is>
          <t>INT28</t>
        </is>
      </c>
      <c r="B45" s="953" t="inlineStr">
        <is>
          <t>ab=aa-v-p</t>
        </is>
      </c>
      <c r="C45" s="954" t="inlineStr">
        <is>
          <t>Intérêts minoritaires à inclure dans le T2 consolidé ou sous-consolidé</t>
        </is>
      </c>
      <c r="D45" s="213" t="n"/>
      <c r="E45" s="213" t="n"/>
      <c r="F45" s="213" t="n"/>
      <c r="G45" s="213" t="n"/>
      <c r="H45" s="213" t="n"/>
      <c r="I45" s="213" t="n"/>
      <c r="J45" s="213" t="n"/>
      <c r="K45" s="213" t="n"/>
      <c r="L45" s="213" t="n"/>
      <c r="M45" s="213" t="n"/>
      <c r="N45" s="213" t="n"/>
      <c r="O45" s="213" t="n"/>
      <c r="P45" s="213" t="n"/>
      <c r="Q45" s="213" t="n"/>
      <c r="R45" s="213" t="n"/>
      <c r="S45" s="213" t="n"/>
      <c r="T45" s="213" t="n"/>
      <c r="U45" s="213" t="n"/>
      <c r="V45" s="213" t="n"/>
      <c r="W45" s="213" t="n"/>
      <c r="X45" s="213" t="n"/>
      <c r="Y45" s="213" t="n"/>
      <c r="Z45" s="213" t="n"/>
      <c r="AA45" s="213" t="n"/>
      <c r="AB45" s="213" t="n"/>
      <c r="AC45" s="213" t="n"/>
      <c r="AD45" s="213" t="n"/>
      <c r="AE45" s="213" t="n"/>
      <c r="AF45" s="213" t="n"/>
      <c r="AG45" s="213" t="n"/>
      <c r="AH45" s="213" t="n"/>
      <c r="AI45" s="213" t="n"/>
      <c r="AJ45" s="213" t="n"/>
      <c r="AK45" s="213" t="n"/>
      <c r="AL45" s="213" t="n"/>
      <c r="AM45" s="213" t="n"/>
      <c r="AN45" s="213" t="n"/>
      <c r="AO45" s="213" t="n"/>
      <c r="AP45" s="213" t="n"/>
      <c r="AQ45" s="213" t="n"/>
      <c r="AR45" s="213" t="n"/>
      <c r="AS45" s="213" t="n"/>
      <c r="AT45" s="213" t="n"/>
      <c r="AU45" s="213" t="n"/>
      <c r="AV45" s="213" t="n"/>
      <c r="AW45" s="213" t="n"/>
      <c r="AX45" s="213" t="n"/>
      <c r="AY45" s="213" t="n"/>
      <c r="AZ45" s="213" t="n"/>
      <c r="BA45" s="213" t="n"/>
      <c r="BB45" s="213" t="n"/>
    </row>
    <row r="46" ht="13.5" customHeight="1" s="885"/>
    <row r="47" ht="23.25" customHeight="1" s="885">
      <c r="A47" s="742" t="inlineStr">
        <is>
          <t>* ratio minimal CET1 (incluant le coussin de conservation)</t>
        </is>
      </c>
      <c r="B47" s="886" t="n"/>
      <c r="C47" s="886" t="n"/>
    </row>
    <row r="48" ht="23.25" customHeight="1" s="885">
      <c r="A48" s="742" t="inlineStr">
        <is>
          <t>** ratio minimal T1 (incluant le coussin de conservation)</t>
        </is>
      </c>
      <c r="B48" s="886" t="n"/>
      <c r="C48" s="886" t="n"/>
    </row>
    <row r="49" ht="23.25" customHeight="1" s="885">
      <c r="A49" s="742" t="inlineStr">
        <is>
          <t>*** ratio minimal de solvabilité (incluant le coussin de conservation)</t>
        </is>
      </c>
      <c r="B49" s="886" t="n"/>
      <c r="C49" s="8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3P0NOHHIn6clfYOdil10A==" formatRows="1" sort="1" spinCount="100000" hashValue="jtEdeAOHksgNKFN9nzzaFdI6w5iRFnwmqtF+FD+g96yY7TY7xg+vxLpCWWQOnGdWAUjt1ltdl7oy+qhc+BEqSQ=="/>
  <mergeCells count="4">
    <mergeCell ref="A48:C48"/>
    <mergeCell ref="A49:C49"/>
    <mergeCell ref="A1:M1"/>
    <mergeCell ref="A47:C47"/>
  </mergeCells>
  <pageMargins left="0.708333333333333" right="0.708333333333333" top="0.747916666666667" bottom="0.747916666666667" header="0.511811023622047" footer="0.315277777777778"/>
  <pageSetup orientation="landscape" paperSize="9" scale="37" horizontalDpi="300" verticalDpi="300"/>
  <headerFooter>
    <oddHeader/>
    <oddFooter>&amp;R&amp;P</oddFooter>
    <evenHeader/>
    <evenFooter/>
    <firstHeader/>
    <firstFooter/>
  </headerFooter>
  <rowBreaks count="1" manualBreakCount="1">
    <brk id="23" min="0" max="16383" man="1"/>
  </rowBreaks>
  <colBreaks count="1" manualBreakCount="1">
    <brk id="14" min="0" max="1048575" man="1"/>
  </col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4"/>
  <sheetViews>
    <sheetView view="pageBreakPreview" zoomScale="70" zoomScaleNormal="70" zoomScaleSheetLayoutView="70" workbookViewId="0">
      <selection activeCell="A34" sqref="A34"/>
    </sheetView>
  </sheetViews>
  <sheetFormatPr baseColWidth="10" defaultColWidth="10" defaultRowHeight="30" customHeight="1"/>
  <cols>
    <col collapsed="1" width="11.08984375" customWidth="1" style="74" min="1" max="1"/>
    <col collapsed="1" width="18.6328125" customWidth="1" style="74" min="2" max="2"/>
    <col collapsed="1" width="54.26953125" customWidth="1" style="74" min="3" max="3"/>
    <col collapsed="1" width="14.81640625" customWidth="1" style="74" min="4" max="5"/>
    <col collapsed="1" width="3.08984375" customWidth="1" style="74" min="6" max="6"/>
    <col collapsed="1" width="10" customWidth="1" style="74" min="7" max="16384"/>
  </cols>
  <sheetData>
    <row r="1" ht="30" customHeight="1" s="885">
      <c r="A1" s="732" t="inlineStr">
        <is>
          <t>TOTAL DES ACTIFS PONDERES DES RISQUES</t>
        </is>
      </c>
      <c r="E1" s="230" t="inlineStr">
        <is>
          <t>EP08</t>
        </is>
      </c>
      <c r="F1" s="955" t="n"/>
    </row>
    <row r="2" ht="30" customFormat="1" customHeight="1" s="232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30" customHeight="1" s="885">
      <c r="A7" s="82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</row>
    <row r="8" ht="30" customFormat="1" customHeight="1" s="235">
      <c r="A8" s="233" t="inlineStr">
        <is>
          <t>Code DISPRU</t>
        </is>
      </c>
      <c r="B8" s="747" t="inlineStr">
        <is>
          <t>Poste</t>
        </is>
      </c>
      <c r="C8" s="901" t="n"/>
      <c r="D8" s="233" t="inlineStr">
        <is>
          <t>Référence</t>
        </is>
      </c>
      <c r="E8" s="747" t="inlineStr">
        <is>
          <t>Montant</t>
        </is>
      </c>
    </row>
    <row r="9" ht="24.75" customHeight="1" s="885">
      <c r="A9" s="236" t="n"/>
      <c r="B9" s="748" t="inlineStr">
        <is>
          <t>A. Risque de crédit</t>
        </is>
      </c>
      <c r="C9" s="956" t="n"/>
      <c r="D9" s="956" t="n"/>
      <c r="E9" s="897" t="n"/>
    </row>
    <row r="10" ht="24.75" customHeight="1" s="885">
      <c r="A10" s="237" t="inlineStr">
        <is>
          <t>RC089</t>
        </is>
      </c>
      <c r="B10" s="743" t="inlineStr">
        <is>
          <t>Expositions sur les souverains</t>
        </is>
      </c>
      <c r="C10" s="895" t="n"/>
      <c r="D10" s="239" t="inlineStr">
        <is>
          <t>EP12</t>
        </is>
      </c>
      <c r="E10" s="240">
        <f>'EP12'!J43</f>
        <v/>
      </c>
    </row>
    <row r="11" ht="24.75" customHeight="1" s="885">
      <c r="A11" s="237" t="inlineStr">
        <is>
          <t>RC114</t>
        </is>
      </c>
      <c r="B11" s="743" t="inlineStr">
        <is>
          <t>Expositions sur les organismes publics hors administration  centrale</t>
        </is>
      </c>
      <c r="C11" s="895" t="n"/>
      <c r="D11" s="239" t="inlineStr">
        <is>
          <t>EP13</t>
        </is>
      </c>
      <c r="E11" s="240">
        <f>'EP13'!J43</f>
        <v/>
      </c>
    </row>
    <row r="12" ht="24.75" customHeight="1" s="885">
      <c r="A12" s="237" t="inlineStr">
        <is>
          <t>RC139</t>
        </is>
      </c>
      <c r="B12" s="743" t="inlineStr">
        <is>
          <t>Expositions sur les Banques Multilatérales de développement</t>
        </is>
      </c>
      <c r="C12" s="895" t="n"/>
      <c r="D12" s="239" t="inlineStr">
        <is>
          <t>EP14</t>
        </is>
      </c>
      <c r="E12" s="240">
        <f>'EP14'!J43</f>
        <v/>
      </c>
    </row>
    <row r="13" ht="24.75" customHeight="1" s="885">
      <c r="A13" s="237" t="inlineStr">
        <is>
          <t>RC164</t>
        </is>
      </c>
      <c r="B13" s="743" t="inlineStr">
        <is>
          <t>Expositions sur les institutions financières</t>
        </is>
      </c>
      <c r="C13" s="895" t="n"/>
      <c r="D13" s="239" t="inlineStr">
        <is>
          <t>EP15</t>
        </is>
      </c>
      <c r="E13" s="240">
        <f>'EP15'!J43</f>
        <v/>
      </c>
    </row>
    <row r="14" ht="24.75" customHeight="1" s="885">
      <c r="A14" s="237" t="inlineStr">
        <is>
          <t>RC193</t>
        </is>
      </c>
      <c r="B14" s="743" t="inlineStr">
        <is>
          <t>Expositions sur les entreprises</t>
        </is>
      </c>
      <c r="C14" s="895" t="n"/>
      <c r="D14" s="239" t="inlineStr">
        <is>
          <t>EP16</t>
        </is>
      </c>
      <c r="E14" s="240">
        <f>'EP16'!J47</f>
        <v/>
      </c>
    </row>
    <row r="15" ht="24.75" customHeight="1" s="885">
      <c r="A15" s="237" t="inlineStr">
        <is>
          <t>RC219</t>
        </is>
      </c>
      <c r="B15" s="743" t="inlineStr">
        <is>
          <t>Expositions sur la clientèle de détail</t>
        </is>
      </c>
      <c r="C15" s="895" t="n"/>
      <c r="D15" s="239" t="inlineStr">
        <is>
          <t>EP17</t>
        </is>
      </c>
      <c r="E15" s="240">
        <f>'EP17'!J38</f>
        <v/>
      </c>
    </row>
    <row r="16" ht="24.75" customHeight="1" s="885">
      <c r="A16" s="237" t="inlineStr">
        <is>
          <t>RC239</t>
        </is>
      </c>
      <c r="B16" s="743" t="inlineStr">
        <is>
          <t>Expositions sur les prêts garantis par l'immobilier résidentiel</t>
        </is>
      </c>
      <c r="C16" s="895" t="n"/>
      <c r="D16" s="239" t="inlineStr">
        <is>
          <t>EP18</t>
        </is>
      </c>
      <c r="E16" s="240">
        <f>'EP18'!J35</f>
        <v/>
      </c>
    </row>
    <row r="17" ht="24.75" customHeight="1" s="885">
      <c r="A17" s="237" t="inlineStr">
        <is>
          <t>RC261</t>
        </is>
      </c>
      <c r="B17" s="743" t="inlineStr">
        <is>
          <t>Expositions sur les prêts garantis par l'immobilier commercial</t>
        </is>
      </c>
      <c r="C17" s="895" t="n"/>
      <c r="D17" s="239" t="inlineStr">
        <is>
          <t>EP19</t>
        </is>
      </c>
      <c r="E17" s="240">
        <f>'EP19'!J38</f>
        <v/>
      </c>
    </row>
    <row r="18" ht="24.75" customHeight="1" s="885">
      <c r="A18" s="237" t="inlineStr">
        <is>
          <t>RC276</t>
        </is>
      </c>
      <c r="B18" s="743" t="inlineStr">
        <is>
          <t>Autres actifs</t>
        </is>
      </c>
      <c r="C18" s="895" t="n"/>
      <c r="D18" s="239" t="inlineStr">
        <is>
          <t>EP20</t>
        </is>
      </c>
      <c r="E18" s="240">
        <f>-'EP20'!E27</f>
        <v/>
      </c>
    </row>
    <row r="19" ht="24.75" customHeight="1" s="885">
      <c r="A19" s="237" t="inlineStr">
        <is>
          <t>APR01</t>
        </is>
      </c>
      <c r="B19" s="241" t="inlineStr">
        <is>
          <t>Total – Actifs pondérés du risque de crédit</t>
        </is>
      </c>
      <c r="C19" s="241" t="n"/>
      <c r="D19" s="241" t="n"/>
      <c r="E19" s="240">
        <f>E10+E11+E12+E13+E14+E15+E16+E17+E18</f>
        <v/>
      </c>
    </row>
    <row r="20" ht="11.25" customHeight="1" s="885">
      <c r="A20" s="745" t="n"/>
      <c r="B20" s="900" t="n"/>
      <c r="C20" s="900" t="n"/>
      <c r="D20" s="900" t="n"/>
      <c r="E20" s="901" t="n"/>
    </row>
    <row r="21" ht="24.75" customHeight="1" s="885">
      <c r="A21" s="236" t="n"/>
      <c r="B21" s="746" t="inlineStr">
        <is>
          <t>B. Risque de marché</t>
        </is>
      </c>
      <c r="C21" s="894" t="n"/>
      <c r="D21" s="894" t="n"/>
      <c r="E21" s="895" t="n"/>
    </row>
    <row r="22" ht="24.75" customHeight="1" s="885">
      <c r="A22" s="236" t="inlineStr">
        <is>
          <t>RM044</t>
        </is>
      </c>
      <c r="B22" s="743" t="inlineStr">
        <is>
          <t>APR au titre du risque de taux d'intérêt du portefeuille de négociation</t>
        </is>
      </c>
      <c r="C22" s="895" t="n"/>
      <c r="D22" s="239" t="inlineStr">
        <is>
          <t>EP25</t>
        </is>
      </c>
      <c r="E22" s="240" t="n">
        <v>0</v>
      </c>
    </row>
    <row r="23" ht="24.75" customHeight="1" s="885">
      <c r="A23" s="236" t="inlineStr">
        <is>
          <t>RM057</t>
        </is>
      </c>
      <c r="B23" s="743" t="inlineStr">
        <is>
          <t>APR au titre du risque de positions sur titre de propriété</t>
        </is>
      </c>
      <c r="C23" s="895" t="n"/>
      <c r="D23" s="239" t="inlineStr">
        <is>
          <t>EP26</t>
        </is>
      </c>
      <c r="E23" s="240" t="n">
        <v>0</v>
      </c>
    </row>
    <row r="24" ht="24.75" customHeight="1" s="885">
      <c r="A24" s="236" t="inlineStr">
        <is>
          <t>RM067</t>
        </is>
      </c>
      <c r="B24" s="743" t="inlineStr">
        <is>
          <t>APR au titre du risque de change</t>
        </is>
      </c>
      <c r="C24" s="895" t="n"/>
      <c r="D24" s="239" t="inlineStr">
        <is>
          <t>EP27</t>
        </is>
      </c>
      <c r="E24" s="240" t="n">
        <v>0</v>
      </c>
    </row>
    <row r="25" ht="24.75" customHeight="1" s="885">
      <c r="A25" s="236" t="inlineStr">
        <is>
          <t>RM123</t>
        </is>
      </c>
      <c r="B25" s="743" t="inlineStr">
        <is>
          <t>APR au titre du risque de positions sur produits de base</t>
        </is>
      </c>
      <c r="C25" s="895" t="n"/>
      <c r="D25" s="239" t="inlineStr">
        <is>
          <t>EP28</t>
        </is>
      </c>
      <c r="E25" s="240" t="n">
        <v>0</v>
      </c>
    </row>
    <row r="26" ht="24.75" customHeight="1" s="885">
      <c r="A26" s="237" t="inlineStr">
        <is>
          <t>APR02</t>
        </is>
      </c>
      <c r="B26" s="241" t="inlineStr">
        <is>
          <t>Total – Actifs pondérés du risque de marché</t>
        </is>
      </c>
      <c r="C26" s="241" t="n"/>
      <c r="D26" s="241" t="n"/>
      <c r="E26" s="240" t="n">
        <v>0</v>
      </c>
    </row>
    <row r="27" ht="11.25" customHeight="1" s="885">
      <c r="A27" s="745" t="n"/>
      <c r="B27" s="900" t="n"/>
      <c r="C27" s="900" t="n"/>
      <c r="D27" s="900" t="n"/>
      <c r="E27" s="901" t="n"/>
    </row>
    <row r="28" ht="24.75" customHeight="1" s="885">
      <c r="A28" s="236" t="n"/>
      <c r="B28" s="746" t="inlineStr">
        <is>
          <t>C. Risque opérationnel</t>
        </is>
      </c>
      <c r="C28" s="894" t="n"/>
      <c r="D28" s="894" t="n"/>
      <c r="E28" s="895" t="n"/>
    </row>
    <row r="29" ht="24.75" customHeight="1" s="885">
      <c r="A29" s="745" t="n"/>
      <c r="B29" s="743" t="inlineStr">
        <is>
          <t>Actifs pondérés du risque selon ;</t>
        </is>
      </c>
      <c r="C29" s="895" t="n"/>
      <c r="D29" s="239" t="n"/>
      <c r="E29" s="241" t="n"/>
    </row>
    <row r="30" ht="24.75" customHeight="1" s="885">
      <c r="A30" s="242" t="inlineStr">
        <is>
          <t>RO010</t>
        </is>
      </c>
      <c r="B30" s="743" t="inlineStr">
        <is>
          <t xml:space="preserve">     - l'approche indicateur de base</t>
        </is>
      </c>
      <c r="C30" s="895" t="n"/>
      <c r="D30" s="239" t="inlineStr">
        <is>
          <t>EP21</t>
        </is>
      </c>
      <c r="E30" s="240">
        <f>'EP21'!I26</f>
        <v/>
      </c>
    </row>
    <row r="31" ht="24.75" customHeight="1" s="885">
      <c r="A31" s="745" t="inlineStr">
        <is>
          <t>RO037</t>
        </is>
      </c>
      <c r="B31" s="743" t="inlineStr">
        <is>
          <t xml:space="preserve">     - l'approche standard</t>
        </is>
      </c>
      <c r="C31" s="895" t="n"/>
      <c r="D31" s="239" t="inlineStr">
        <is>
          <t>EP23</t>
        </is>
      </c>
      <c r="E31" s="240" t="n"/>
    </row>
    <row r="32" ht="24.75" customFormat="1" customHeight="1" s="232">
      <c r="A32" s="237" t="inlineStr">
        <is>
          <t>APR03</t>
        </is>
      </c>
      <c r="B32" s="744" t="inlineStr">
        <is>
          <t>Total – Actifs pondérés du risque opérationnel</t>
        </is>
      </c>
      <c r="C32" s="895" t="n"/>
      <c r="D32" s="747" t="n"/>
      <c r="E32" s="240">
        <f>E30+E31</f>
        <v/>
      </c>
    </row>
    <row r="33" ht="11.25" customHeight="1" s="885">
      <c r="A33" s="745" t="n"/>
      <c r="B33" s="900" t="n"/>
      <c r="C33" s="900" t="n"/>
      <c r="D33" s="900" t="n"/>
      <c r="E33" s="901" t="n"/>
    </row>
    <row r="34" ht="24.75" customHeight="1" s="885">
      <c r="A34" s="237" t="inlineStr">
        <is>
          <t>APR04</t>
        </is>
      </c>
      <c r="B34" s="241" t="inlineStr">
        <is>
          <t>TOTAL ACTIFS PONDERES DES RISQUES (APR)</t>
        </is>
      </c>
      <c r="C34" s="241" t="n"/>
      <c r="D34" s="241" t="n"/>
      <c r="E34" s="240">
        <f>E19+E26+E32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eE0eTebRiiCpkVLof9asw==" formatRows="1" sort="1" spinCount="100000" hashValue="5lNieIejPgAx7AmZQsjOj3wxhskm01w9UylOrtwPYGxS0QGiz4Q/wArgz0DjAJ7pP8psPB2tne55to+mKz9uQA=="/>
  <mergeCells count="25">
    <mergeCell ref="B9:E9"/>
    <mergeCell ref="B16:C16"/>
    <mergeCell ref="B25:C25"/>
    <mergeCell ref="B22:C22"/>
    <mergeCell ref="B31:C31"/>
    <mergeCell ref="B18:C18"/>
    <mergeCell ref="B12:C12"/>
    <mergeCell ref="B11:C11"/>
    <mergeCell ref="B23:C23"/>
    <mergeCell ref="B14:C14"/>
    <mergeCell ref="B17:C17"/>
    <mergeCell ref="B8:C8"/>
    <mergeCell ref="A27:E27"/>
    <mergeCell ref="B13:C13"/>
    <mergeCell ref="A1:D1"/>
    <mergeCell ref="B29:C29"/>
    <mergeCell ref="B10:C10"/>
    <mergeCell ref="B21:E21"/>
    <mergeCell ref="A33:E33"/>
    <mergeCell ref="B24:C24"/>
    <mergeCell ref="B30:C30"/>
    <mergeCell ref="B15:C15"/>
    <mergeCell ref="A20:E20"/>
    <mergeCell ref="B32:C32"/>
    <mergeCell ref="B28:E28"/>
  </mergeCells>
  <pageMargins left="0.708333333333333" right="0.708333333333333" top="0.747916666666667" bottom="0.747916666666667" header="0.511811023622047" footer="0.315277777777778"/>
  <pageSetup orientation="portrait" paperSize="9" scale="64" horizontalDpi="300" verticalDpi="300"/>
  <headerFooter>
    <oddHeader/>
    <oddFooter>&amp;R&amp;P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MD29"/>
  <sheetViews>
    <sheetView view="pageBreakPreview" zoomScale="47" zoomScaleNormal="70" zoomScaleSheetLayoutView="70" workbookViewId="0">
      <selection activeCell="A15" sqref="A15:XFD15"/>
    </sheetView>
  </sheetViews>
  <sheetFormatPr baseColWidth="10" defaultColWidth="10" defaultRowHeight="10.5" customHeight="1"/>
  <cols>
    <col collapsed="1" width="11.08984375" customWidth="1" style="243" min="1" max="1"/>
    <col collapsed="1" width="18.6328125" customWidth="1" style="243" min="2" max="2"/>
    <col collapsed="1" width="51.90625" customWidth="1" style="243" min="3" max="3"/>
    <col collapsed="1" width="20.7265625" customWidth="1" style="243" min="4" max="9"/>
    <col collapsed="1" width="10" customWidth="1" style="243" min="10" max="16384"/>
  </cols>
  <sheetData>
    <row r="1" ht="19.5" customHeight="1" s="885">
      <c r="A1" s="753" t="inlineStr">
        <is>
          <t>VENTILATION DU BILAN ENTRE LES DIFFERENTES CATEGORIES D'EXPOSITION</t>
        </is>
      </c>
      <c r="B1" s="886" t="n"/>
      <c r="C1" s="886" t="n"/>
      <c r="D1" s="886" t="n"/>
      <c r="E1" s="886" t="n"/>
      <c r="F1" s="886" t="n"/>
      <c r="G1" s="886" t="n"/>
      <c r="H1" s="886" t="n"/>
      <c r="I1" s="245" t="inlineStr">
        <is>
          <t>EP09</t>
        </is>
      </c>
    </row>
    <row r="2" ht="31.5" customHeight="1" s="885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3.5" customFormat="1" customHeight="1" s="77">
      <c r="A7" s="246" t="n"/>
      <c r="B7" s="246" t="n"/>
      <c r="C7" s="246" t="n"/>
      <c r="D7" s="246" t="n"/>
      <c r="E7" s="246" t="n"/>
      <c r="F7" s="246" t="n"/>
      <c r="G7" s="247" t="n"/>
      <c r="H7" s="247" t="n"/>
      <c r="I7" s="248" t="n"/>
      <c r="J7" s="247" t="n"/>
      <c r="K7" s="247" t="n"/>
    </row>
    <row r="8" ht="25.5" customHeight="1" s="885">
      <c r="A8" s="754" t="inlineStr">
        <is>
          <t>Code DISPRU</t>
        </is>
      </c>
      <c r="B8" s="752" t="inlineStr">
        <is>
          <t>Poste</t>
        </is>
      </c>
      <c r="C8" s="929" t="n"/>
      <c r="D8" s="755" t="inlineStr">
        <is>
          <t>Expositions brutes</t>
        </is>
      </c>
      <c r="E8" s="886" t="n"/>
      <c r="F8" s="957" t="n"/>
      <c r="G8" s="752" t="inlineStr">
        <is>
          <t xml:space="preserve"> (-) Provisions</t>
        </is>
      </c>
      <c r="H8" s="752" t="inlineStr">
        <is>
          <t xml:space="preserve"> (-) Eléments déduits des fonds propres</t>
        </is>
      </c>
      <c r="I8" s="752" t="inlineStr">
        <is>
          <t>Expositions nettes</t>
        </is>
      </c>
      <c r="J8" s="249" t="n"/>
      <c r="K8" s="249" t="n"/>
      <c r="L8" s="249" t="n"/>
      <c r="M8" s="249" t="n"/>
      <c r="N8" s="249" t="n"/>
      <c r="O8" s="249" t="n"/>
      <c r="P8" s="249" t="n"/>
      <c r="Q8" s="249" t="n"/>
      <c r="R8" s="249" t="n"/>
      <c r="S8" s="249" t="n"/>
      <c r="T8" s="249" t="n"/>
      <c r="U8" s="249" t="n"/>
      <c r="V8" s="249" t="n"/>
      <c r="W8" s="249" t="n"/>
      <c r="X8" s="249" t="n"/>
      <c r="Y8" s="249" t="n"/>
      <c r="Z8" s="249" t="n"/>
      <c r="AA8" s="249" t="n"/>
      <c r="AB8" s="249" t="n"/>
      <c r="AC8" s="249" t="n"/>
      <c r="AD8" s="249" t="n"/>
      <c r="AE8" s="249" t="n"/>
      <c r="AF8" s="249" t="n"/>
      <c r="AG8" s="249" t="n"/>
      <c r="AH8" s="249" t="n"/>
      <c r="AI8" s="249" t="n"/>
      <c r="AJ8" s="249" t="n"/>
      <c r="AK8" s="249" t="n"/>
      <c r="AL8" s="249" t="n"/>
      <c r="AM8" s="249" t="n"/>
      <c r="AN8" s="249" t="n"/>
      <c r="AO8" s="249" t="n"/>
      <c r="AP8" s="249" t="n"/>
      <c r="AQ8" s="249" t="n"/>
      <c r="AR8" s="249" t="n"/>
      <c r="AS8" s="249" t="n"/>
      <c r="AT8" s="249" t="n"/>
      <c r="AU8" s="249" t="n"/>
      <c r="AV8" s="249" t="n"/>
      <c r="AW8" s="249" t="n"/>
      <c r="AX8" s="249" t="n"/>
      <c r="AY8" s="249" t="n"/>
      <c r="AZ8" s="249" t="n"/>
      <c r="BA8" s="249" t="n"/>
      <c r="BB8" s="249" t="n"/>
      <c r="BC8" s="249" t="n"/>
      <c r="BD8" s="249" t="n"/>
      <c r="BE8" s="249" t="n"/>
      <c r="BF8" s="249" t="n"/>
      <c r="BG8" s="249" t="n"/>
      <c r="BH8" s="249" t="n"/>
      <c r="BI8" s="249" t="n"/>
      <c r="BJ8" s="249" t="n"/>
      <c r="BK8" s="249" t="n"/>
      <c r="BL8" s="249" t="n"/>
      <c r="BM8" s="249" t="n"/>
      <c r="BN8" s="249" t="n"/>
      <c r="BO8" s="249" t="n"/>
      <c r="BP8" s="249" t="n"/>
      <c r="BQ8" s="249" t="n"/>
      <c r="BR8" s="249" t="n"/>
      <c r="BS8" s="249" t="n"/>
      <c r="BT8" s="249" t="n"/>
      <c r="BU8" s="249" t="n"/>
      <c r="BV8" s="249" t="n"/>
      <c r="BW8" s="249" t="n"/>
      <c r="BX8" s="249" t="n"/>
      <c r="BY8" s="249" t="n"/>
      <c r="BZ8" s="249" t="n"/>
      <c r="CA8" s="249" t="n"/>
      <c r="CB8" s="249" t="n"/>
      <c r="CC8" s="249" t="n"/>
      <c r="CD8" s="249" t="n"/>
      <c r="CE8" s="249" t="n"/>
      <c r="CF8" s="249" t="n"/>
      <c r="CG8" s="249" t="n"/>
      <c r="CH8" s="249" t="n"/>
      <c r="CI8" s="249" t="n"/>
      <c r="CJ8" s="249" t="n"/>
      <c r="CK8" s="249" t="n"/>
      <c r="CL8" s="249" t="n"/>
      <c r="CM8" s="249" t="n"/>
      <c r="CN8" s="249" t="n"/>
      <c r="CO8" s="249" t="n"/>
      <c r="CP8" s="249" t="n"/>
      <c r="CQ8" s="249" t="n"/>
      <c r="CR8" s="249" t="n"/>
      <c r="CS8" s="249" t="n"/>
      <c r="CT8" s="249" t="n"/>
      <c r="CU8" s="249" t="n"/>
      <c r="CV8" s="249" t="n"/>
      <c r="CW8" s="249" t="n"/>
      <c r="CX8" s="249" t="n"/>
      <c r="CY8" s="249" t="n"/>
      <c r="CZ8" s="249" t="n"/>
      <c r="DA8" s="249" t="n"/>
      <c r="DB8" s="249" t="n"/>
      <c r="DC8" s="249" t="n"/>
      <c r="DD8" s="249" t="n"/>
      <c r="DE8" s="249" t="n"/>
      <c r="DF8" s="249" t="n"/>
      <c r="DG8" s="249" t="n"/>
      <c r="DH8" s="249" t="n"/>
      <c r="DI8" s="249" t="n"/>
      <c r="DJ8" s="249" t="n"/>
      <c r="DK8" s="249" t="n"/>
      <c r="DL8" s="249" t="n"/>
      <c r="DM8" s="249" t="n"/>
      <c r="DN8" s="249" t="n"/>
      <c r="DO8" s="249" t="n"/>
      <c r="DP8" s="249" t="n"/>
      <c r="DQ8" s="249" t="n"/>
      <c r="DR8" s="249" t="n"/>
      <c r="DS8" s="249" t="n"/>
      <c r="DT8" s="249" t="n"/>
      <c r="DU8" s="249" t="n"/>
      <c r="DV8" s="249" t="n"/>
      <c r="DW8" s="249" t="n"/>
      <c r="DX8" s="249" t="n"/>
      <c r="DY8" s="249" t="n"/>
      <c r="DZ8" s="249" t="n"/>
      <c r="EA8" s="249" t="n"/>
      <c r="EB8" s="249" t="n"/>
      <c r="EC8" s="249" t="n"/>
      <c r="ED8" s="249" t="n"/>
      <c r="EE8" s="249" t="n"/>
      <c r="EF8" s="249" t="n"/>
      <c r="EG8" s="249" t="n"/>
      <c r="EH8" s="249" t="n"/>
      <c r="EI8" s="249" t="n"/>
      <c r="EJ8" s="249" t="n"/>
      <c r="EK8" s="249" t="n"/>
      <c r="EL8" s="249" t="n"/>
      <c r="EM8" s="249" t="n"/>
      <c r="EN8" s="249" t="n"/>
      <c r="EO8" s="249" t="n"/>
      <c r="EP8" s="249" t="n"/>
      <c r="EQ8" s="249" t="n"/>
      <c r="ER8" s="249" t="n"/>
      <c r="ES8" s="249" t="n"/>
      <c r="ET8" s="249" t="n"/>
      <c r="EU8" s="249" t="n"/>
      <c r="EV8" s="249" t="n"/>
      <c r="EW8" s="249" t="n"/>
      <c r="EX8" s="249" t="n"/>
      <c r="EY8" s="249" t="n"/>
      <c r="EZ8" s="249" t="n"/>
      <c r="FA8" s="249" t="n"/>
      <c r="FB8" s="249" t="n"/>
      <c r="FC8" s="249" t="n"/>
      <c r="FD8" s="249" t="n"/>
      <c r="FE8" s="249" t="n"/>
      <c r="FF8" s="249" t="n"/>
      <c r="FG8" s="249" t="n"/>
      <c r="FH8" s="249" t="n"/>
      <c r="FI8" s="249" t="n"/>
      <c r="FJ8" s="249" t="n"/>
      <c r="FK8" s="249" t="n"/>
      <c r="FL8" s="249" t="n"/>
      <c r="FM8" s="249" t="n"/>
      <c r="FN8" s="249" t="n"/>
      <c r="FO8" s="249" t="n"/>
      <c r="FP8" s="249" t="n"/>
      <c r="FQ8" s="249" t="n"/>
      <c r="FR8" s="249" t="n"/>
      <c r="FS8" s="249" t="n"/>
      <c r="FT8" s="249" t="n"/>
      <c r="FU8" s="249" t="n"/>
      <c r="FV8" s="249" t="n"/>
      <c r="FW8" s="249" t="n"/>
      <c r="FX8" s="249" t="n"/>
      <c r="FY8" s="249" t="n"/>
      <c r="FZ8" s="249" t="n"/>
      <c r="GA8" s="249" t="n"/>
      <c r="GB8" s="249" t="n"/>
      <c r="GC8" s="249" t="n"/>
      <c r="GD8" s="249" t="n"/>
      <c r="GE8" s="249" t="n"/>
      <c r="GF8" s="249" t="n"/>
      <c r="GG8" s="249" t="n"/>
      <c r="GH8" s="249" t="n"/>
      <c r="GI8" s="249" t="n"/>
      <c r="GJ8" s="249" t="n"/>
      <c r="GK8" s="249" t="n"/>
      <c r="GL8" s="249" t="n"/>
      <c r="GM8" s="249" t="n"/>
      <c r="GN8" s="249" t="n"/>
      <c r="GO8" s="249" t="n"/>
      <c r="GP8" s="249" t="n"/>
      <c r="GQ8" s="249" t="n"/>
      <c r="GR8" s="249" t="n"/>
      <c r="GS8" s="249" t="n"/>
      <c r="GT8" s="249" t="n"/>
      <c r="GU8" s="249" t="n"/>
      <c r="GV8" s="249" t="n"/>
      <c r="GW8" s="249" t="n"/>
      <c r="GX8" s="249" t="n"/>
      <c r="GY8" s="249" t="n"/>
      <c r="GZ8" s="249" t="n"/>
      <c r="HA8" s="249" t="n"/>
      <c r="HB8" s="249" t="n"/>
      <c r="HC8" s="249" t="n"/>
      <c r="HD8" s="249" t="n"/>
      <c r="HE8" s="249" t="n"/>
      <c r="HF8" s="249" t="n"/>
      <c r="HG8" s="249" t="n"/>
      <c r="HH8" s="249" t="n"/>
      <c r="HI8" s="249" t="n"/>
      <c r="HJ8" s="249" t="n"/>
      <c r="HK8" s="249" t="n"/>
      <c r="HL8" s="249" t="n"/>
      <c r="HM8" s="249" t="n"/>
      <c r="HN8" s="249" t="n"/>
      <c r="HO8" s="249" t="n"/>
      <c r="HP8" s="249" t="n"/>
      <c r="HQ8" s="249" t="n"/>
      <c r="HR8" s="249" t="n"/>
      <c r="HS8" s="249" t="n"/>
      <c r="HT8" s="249" t="n"/>
      <c r="HU8" s="249" t="n"/>
      <c r="HV8" s="249" t="n"/>
      <c r="HW8" s="249" t="n"/>
      <c r="HX8" s="249" t="n"/>
      <c r="HY8" s="249" t="n"/>
      <c r="HZ8" s="249" t="n"/>
      <c r="IA8" s="249" t="n"/>
      <c r="IB8" s="249" t="n"/>
      <c r="IC8" s="249" t="n"/>
      <c r="ID8" s="249" t="n"/>
      <c r="IE8" s="249" t="n"/>
      <c r="IF8" s="249" t="n"/>
      <c r="IG8" s="249" t="n"/>
      <c r="IH8" s="249" t="n"/>
      <c r="II8" s="249" t="n"/>
      <c r="IJ8" s="249" t="n"/>
      <c r="IK8" s="249" t="n"/>
      <c r="IL8" s="249" t="n"/>
      <c r="IM8" s="249" t="n"/>
      <c r="IN8" s="249" t="n"/>
      <c r="IO8" s="249" t="n"/>
      <c r="IP8" s="249" t="n"/>
      <c r="IQ8" s="249" t="n"/>
      <c r="IR8" s="249" t="n"/>
      <c r="IS8" s="249" t="n"/>
      <c r="IT8" s="249" t="n"/>
      <c r="IU8" s="249" t="n"/>
      <c r="IV8" s="249" t="n"/>
      <c r="IW8" s="249" t="n"/>
      <c r="IX8" s="249" t="n"/>
      <c r="IY8" s="249" t="n"/>
      <c r="IZ8" s="249" t="n"/>
      <c r="JA8" s="249" t="n"/>
      <c r="JB8" s="249" t="n"/>
      <c r="JC8" s="249" t="n"/>
      <c r="JD8" s="249" t="n"/>
      <c r="JE8" s="249" t="n"/>
      <c r="JF8" s="249" t="n"/>
      <c r="JG8" s="249" t="n"/>
      <c r="JH8" s="249" t="n"/>
      <c r="JI8" s="249" t="n"/>
      <c r="JJ8" s="249" t="n"/>
      <c r="JK8" s="249" t="n"/>
      <c r="JL8" s="249" t="n"/>
      <c r="JM8" s="249" t="n"/>
      <c r="JN8" s="249" t="n"/>
      <c r="JO8" s="249" t="n"/>
      <c r="JP8" s="249" t="n"/>
      <c r="JQ8" s="249" t="n"/>
      <c r="JR8" s="249" t="n"/>
      <c r="JS8" s="249" t="n"/>
      <c r="JT8" s="249" t="n"/>
      <c r="JU8" s="249" t="n"/>
      <c r="JV8" s="249" t="n"/>
      <c r="JW8" s="249" t="n"/>
      <c r="JX8" s="249" t="n"/>
      <c r="JY8" s="249" t="n"/>
      <c r="JZ8" s="249" t="n"/>
      <c r="KA8" s="249" t="n"/>
      <c r="KB8" s="249" t="n"/>
      <c r="KC8" s="249" t="n"/>
      <c r="KD8" s="249" t="n"/>
      <c r="KE8" s="249" t="n"/>
      <c r="KF8" s="249" t="n"/>
      <c r="KG8" s="249" t="n"/>
      <c r="KH8" s="249" t="n"/>
      <c r="KI8" s="249" t="n"/>
      <c r="KJ8" s="249" t="n"/>
      <c r="KK8" s="249" t="n"/>
      <c r="KL8" s="249" t="n"/>
      <c r="KM8" s="249" t="n"/>
      <c r="KN8" s="249" t="n"/>
      <c r="KO8" s="249" t="n"/>
      <c r="KP8" s="249" t="n"/>
      <c r="KQ8" s="249" t="n"/>
      <c r="KR8" s="249" t="n"/>
      <c r="KS8" s="249" t="n"/>
      <c r="KT8" s="249" t="n"/>
      <c r="KU8" s="249" t="n"/>
      <c r="KV8" s="249" t="n"/>
      <c r="KW8" s="249" t="n"/>
      <c r="KX8" s="249" t="n"/>
      <c r="KY8" s="249" t="n"/>
      <c r="KZ8" s="249" t="n"/>
      <c r="LA8" s="249" t="n"/>
      <c r="LB8" s="249" t="n"/>
      <c r="LC8" s="249" t="n"/>
      <c r="LD8" s="249" t="n"/>
      <c r="LE8" s="249" t="n"/>
      <c r="LF8" s="249" t="n"/>
      <c r="LG8" s="249" t="n"/>
      <c r="LH8" s="249" t="n"/>
      <c r="LI8" s="249" t="n"/>
      <c r="LJ8" s="249" t="n"/>
      <c r="LK8" s="249" t="n"/>
      <c r="LL8" s="249" t="n"/>
      <c r="LM8" s="249" t="n"/>
      <c r="LN8" s="249" t="n"/>
      <c r="LO8" s="249" t="n"/>
      <c r="LP8" s="249" t="n"/>
      <c r="LQ8" s="249" t="n"/>
      <c r="LR8" s="249" t="n"/>
      <c r="LS8" s="249" t="n"/>
      <c r="LT8" s="249" t="n"/>
      <c r="LU8" s="249" t="n"/>
      <c r="LV8" s="249" t="n"/>
      <c r="LW8" s="249" t="n"/>
      <c r="LX8" s="249" t="n"/>
      <c r="LY8" s="249" t="n"/>
      <c r="LZ8" s="249" t="n"/>
      <c r="MA8" s="249" t="n"/>
      <c r="MB8" s="249" t="n"/>
      <c r="MC8" s="249" t="n"/>
      <c r="MD8" s="249" t="n"/>
      <c r="ME8" s="249" t="n"/>
      <c r="MF8" s="249" t="n"/>
      <c r="MG8" s="249" t="n"/>
      <c r="MH8" s="249" t="n"/>
      <c r="MI8" s="249" t="n"/>
      <c r="MJ8" s="249" t="n"/>
      <c r="MK8" s="249" t="n"/>
      <c r="ML8" s="249" t="n"/>
      <c r="MM8" s="249" t="n"/>
      <c r="MN8" s="249" t="n"/>
      <c r="MO8" s="249" t="n"/>
      <c r="MP8" s="249" t="n"/>
      <c r="MQ8" s="249" t="n"/>
      <c r="MR8" s="249" t="n"/>
      <c r="MS8" s="249" t="n"/>
      <c r="MT8" s="249" t="n"/>
      <c r="MU8" s="249" t="n"/>
      <c r="MV8" s="249" t="n"/>
      <c r="MW8" s="249" t="n"/>
      <c r="MX8" s="249" t="n"/>
      <c r="MY8" s="249" t="n"/>
      <c r="MZ8" s="249" t="n"/>
      <c r="NA8" s="249" t="n"/>
      <c r="NB8" s="249" t="n"/>
      <c r="NC8" s="249" t="n"/>
      <c r="ND8" s="249" t="n"/>
      <c r="NE8" s="249" t="n"/>
      <c r="NF8" s="249" t="n"/>
      <c r="NG8" s="249" t="n"/>
      <c r="NH8" s="249" t="n"/>
      <c r="NI8" s="249" t="n"/>
      <c r="NJ8" s="249" t="n"/>
      <c r="NK8" s="249" t="n"/>
      <c r="NL8" s="249" t="n"/>
      <c r="NM8" s="249" t="n"/>
      <c r="NN8" s="249" t="n"/>
      <c r="NO8" s="249" t="n"/>
      <c r="NP8" s="249" t="n"/>
      <c r="NQ8" s="249" t="n"/>
      <c r="NR8" s="249" t="n"/>
      <c r="NS8" s="249" t="n"/>
      <c r="NT8" s="249" t="n"/>
      <c r="NU8" s="249" t="n"/>
      <c r="NV8" s="249" t="n"/>
      <c r="NW8" s="249" t="n"/>
      <c r="NX8" s="249" t="n"/>
      <c r="NY8" s="249" t="n"/>
      <c r="NZ8" s="249" t="n"/>
      <c r="OA8" s="249" t="n"/>
      <c r="OB8" s="249" t="n"/>
      <c r="OC8" s="249" t="n"/>
      <c r="OD8" s="249" t="n"/>
      <c r="OE8" s="249" t="n"/>
      <c r="OF8" s="249" t="n"/>
      <c r="OG8" s="249" t="n"/>
      <c r="OH8" s="249" t="n"/>
      <c r="OI8" s="249" t="n"/>
      <c r="OJ8" s="249" t="n"/>
      <c r="OK8" s="249" t="n"/>
      <c r="OL8" s="249" t="n"/>
      <c r="OM8" s="249" t="n"/>
      <c r="ON8" s="249" t="n"/>
      <c r="OO8" s="249" t="n"/>
      <c r="OP8" s="249" t="n"/>
      <c r="OQ8" s="249" t="n"/>
      <c r="OR8" s="249" t="n"/>
      <c r="OS8" s="249" t="n"/>
      <c r="OT8" s="249" t="n"/>
      <c r="OU8" s="249" t="n"/>
      <c r="OV8" s="249" t="n"/>
      <c r="OW8" s="249" t="n"/>
      <c r="OX8" s="249" t="n"/>
      <c r="OY8" s="249" t="n"/>
      <c r="OZ8" s="249" t="n"/>
      <c r="PA8" s="249" t="n"/>
      <c r="PB8" s="249" t="n"/>
      <c r="PC8" s="249" t="n"/>
      <c r="PD8" s="249" t="n"/>
      <c r="PE8" s="249" t="n"/>
      <c r="PF8" s="249" t="n"/>
      <c r="PG8" s="249" t="n"/>
      <c r="PH8" s="249" t="n"/>
      <c r="PI8" s="249" t="n"/>
      <c r="PJ8" s="249" t="n"/>
      <c r="PK8" s="249" t="n"/>
      <c r="PL8" s="249" t="n"/>
      <c r="PM8" s="249" t="n"/>
      <c r="PN8" s="249" t="n"/>
      <c r="PO8" s="249" t="n"/>
      <c r="PP8" s="249" t="n"/>
      <c r="PQ8" s="249" t="n"/>
      <c r="PR8" s="249" t="n"/>
      <c r="PS8" s="249" t="n"/>
      <c r="PT8" s="249" t="n"/>
      <c r="PU8" s="249" t="n"/>
      <c r="PV8" s="249" t="n"/>
      <c r="PW8" s="249" t="n"/>
      <c r="PX8" s="249" t="n"/>
      <c r="PY8" s="249" t="n"/>
      <c r="PZ8" s="249" t="n"/>
      <c r="QA8" s="249" t="n"/>
      <c r="QB8" s="249" t="n"/>
      <c r="QC8" s="249" t="n"/>
      <c r="QD8" s="249" t="n"/>
      <c r="QE8" s="249" t="n"/>
      <c r="QF8" s="249" t="n"/>
      <c r="QG8" s="249" t="n"/>
      <c r="QH8" s="249" t="n"/>
      <c r="QI8" s="249" t="n"/>
      <c r="QJ8" s="249" t="n"/>
      <c r="QK8" s="249" t="n"/>
      <c r="QL8" s="249" t="n"/>
      <c r="QM8" s="249" t="n"/>
      <c r="QN8" s="249" t="n"/>
      <c r="QO8" s="249" t="n"/>
      <c r="QP8" s="249" t="n"/>
      <c r="QQ8" s="249" t="n"/>
      <c r="QR8" s="249" t="n"/>
      <c r="QS8" s="249" t="n"/>
      <c r="QT8" s="249" t="n"/>
      <c r="QU8" s="249" t="n"/>
      <c r="QV8" s="249" t="n"/>
      <c r="QW8" s="249" t="n"/>
      <c r="QX8" s="249" t="n"/>
      <c r="QY8" s="249" t="n"/>
      <c r="QZ8" s="249" t="n"/>
      <c r="RA8" s="249" t="n"/>
      <c r="RB8" s="249" t="n"/>
      <c r="RC8" s="249" t="n"/>
      <c r="RD8" s="249" t="n"/>
      <c r="RE8" s="249" t="n"/>
      <c r="RF8" s="249" t="n"/>
      <c r="RG8" s="249" t="n"/>
      <c r="RH8" s="249" t="n"/>
      <c r="RI8" s="249" t="n"/>
      <c r="RJ8" s="249" t="n"/>
      <c r="RK8" s="249" t="n"/>
      <c r="RL8" s="249" t="n"/>
      <c r="RM8" s="249" t="n"/>
      <c r="RN8" s="249" t="n"/>
      <c r="RO8" s="249" t="n"/>
      <c r="RP8" s="249" t="n"/>
      <c r="RQ8" s="249" t="n"/>
      <c r="RR8" s="249" t="n"/>
      <c r="RS8" s="249" t="n"/>
      <c r="RT8" s="249" t="n"/>
      <c r="RU8" s="249" t="n"/>
      <c r="RV8" s="249" t="n"/>
      <c r="RW8" s="249" t="n"/>
      <c r="RX8" s="249" t="n"/>
      <c r="RY8" s="249" t="n"/>
      <c r="RZ8" s="249" t="n"/>
      <c r="SA8" s="249" t="n"/>
      <c r="SB8" s="249" t="n"/>
      <c r="SC8" s="249" t="n"/>
      <c r="SD8" s="249" t="n"/>
      <c r="SE8" s="249" t="n"/>
      <c r="SF8" s="249" t="n"/>
      <c r="SG8" s="249" t="n"/>
      <c r="SH8" s="249" t="n"/>
      <c r="SI8" s="249" t="n"/>
      <c r="SJ8" s="249" t="n"/>
      <c r="SK8" s="249" t="n"/>
      <c r="SL8" s="249" t="n"/>
      <c r="SM8" s="249" t="n"/>
      <c r="SN8" s="249" t="n"/>
      <c r="SO8" s="249" t="n"/>
      <c r="SP8" s="249" t="n"/>
      <c r="SQ8" s="249" t="n"/>
      <c r="SR8" s="249" t="n"/>
      <c r="SS8" s="249" t="n"/>
      <c r="ST8" s="249" t="n"/>
      <c r="SU8" s="249" t="n"/>
      <c r="SV8" s="249" t="n"/>
      <c r="SW8" s="249" t="n"/>
      <c r="SX8" s="249" t="n"/>
      <c r="SY8" s="249" t="n"/>
      <c r="SZ8" s="249" t="n"/>
      <c r="TA8" s="249" t="n"/>
      <c r="TB8" s="249" t="n"/>
      <c r="TC8" s="249" t="n"/>
      <c r="TD8" s="249" t="n"/>
      <c r="TE8" s="249" t="n"/>
      <c r="TF8" s="249" t="n"/>
      <c r="TG8" s="249" t="n"/>
      <c r="TH8" s="249" t="n"/>
      <c r="TI8" s="249" t="n"/>
      <c r="TJ8" s="249" t="n"/>
      <c r="TK8" s="249" t="n"/>
      <c r="TL8" s="249" t="n"/>
      <c r="TM8" s="249" t="n"/>
      <c r="TN8" s="249" t="n"/>
      <c r="TO8" s="249" t="n"/>
      <c r="TP8" s="249" t="n"/>
      <c r="TQ8" s="249" t="n"/>
      <c r="TR8" s="249" t="n"/>
      <c r="TS8" s="249" t="n"/>
      <c r="TT8" s="249" t="n"/>
      <c r="TU8" s="249" t="n"/>
      <c r="TV8" s="249" t="n"/>
      <c r="TW8" s="249" t="n"/>
      <c r="TX8" s="249" t="n"/>
      <c r="TY8" s="249" t="n"/>
      <c r="TZ8" s="249" t="n"/>
      <c r="UA8" s="249" t="n"/>
      <c r="UB8" s="249" t="n"/>
      <c r="UC8" s="249" t="n"/>
      <c r="UD8" s="249" t="n"/>
      <c r="UE8" s="249" t="n"/>
      <c r="UF8" s="249" t="n"/>
      <c r="UG8" s="249" t="n"/>
      <c r="UH8" s="249" t="n"/>
      <c r="UI8" s="249" t="n"/>
      <c r="UJ8" s="249" t="n"/>
      <c r="UK8" s="249" t="n"/>
      <c r="UL8" s="249" t="n"/>
      <c r="UM8" s="249" t="n"/>
      <c r="UN8" s="249" t="n"/>
      <c r="UO8" s="249" t="n"/>
      <c r="UP8" s="249" t="n"/>
      <c r="UQ8" s="249" t="n"/>
      <c r="UR8" s="249" t="n"/>
      <c r="US8" s="249" t="n"/>
      <c r="UT8" s="249" t="n"/>
      <c r="UU8" s="249" t="n"/>
      <c r="UV8" s="249" t="n"/>
      <c r="UW8" s="249" t="n"/>
      <c r="UX8" s="249" t="n"/>
      <c r="UY8" s="249" t="n"/>
      <c r="UZ8" s="249" t="n"/>
      <c r="VA8" s="249" t="n"/>
      <c r="VB8" s="249" t="n"/>
      <c r="VC8" s="249" t="n"/>
      <c r="VD8" s="249" t="n"/>
      <c r="VE8" s="249" t="n"/>
      <c r="VF8" s="249" t="n"/>
      <c r="VG8" s="249" t="n"/>
      <c r="VH8" s="249" t="n"/>
      <c r="VI8" s="249" t="n"/>
      <c r="VJ8" s="249" t="n"/>
      <c r="VK8" s="249" t="n"/>
      <c r="VL8" s="249" t="n"/>
      <c r="VM8" s="249" t="n"/>
      <c r="VN8" s="249" t="n"/>
      <c r="VO8" s="249" t="n"/>
      <c r="VP8" s="249" t="n"/>
      <c r="VQ8" s="249" t="n"/>
      <c r="VR8" s="249" t="n"/>
      <c r="VS8" s="249" t="n"/>
      <c r="VT8" s="249" t="n"/>
      <c r="VU8" s="249" t="n"/>
      <c r="VV8" s="249" t="n"/>
      <c r="VW8" s="249" t="n"/>
      <c r="VX8" s="249" t="n"/>
      <c r="VY8" s="249" t="n"/>
      <c r="VZ8" s="249" t="n"/>
      <c r="WA8" s="249" t="n"/>
      <c r="WB8" s="249" t="n"/>
      <c r="WC8" s="249" t="n"/>
      <c r="WD8" s="249" t="n"/>
      <c r="WE8" s="249" t="n"/>
      <c r="WF8" s="249" t="n"/>
      <c r="WG8" s="249" t="n"/>
      <c r="WH8" s="249" t="n"/>
      <c r="WI8" s="249" t="n"/>
      <c r="WJ8" s="249" t="n"/>
      <c r="WK8" s="249" t="n"/>
      <c r="WL8" s="249" t="n"/>
      <c r="WM8" s="249" t="n"/>
      <c r="WN8" s="249" t="n"/>
      <c r="WO8" s="249" t="n"/>
      <c r="WP8" s="249" t="n"/>
      <c r="WQ8" s="249" t="n"/>
      <c r="WR8" s="249" t="n"/>
      <c r="WS8" s="249" t="n"/>
      <c r="WT8" s="249" t="n"/>
      <c r="WU8" s="249" t="n"/>
      <c r="WV8" s="249" t="n"/>
      <c r="WW8" s="249" t="n"/>
      <c r="WX8" s="249" t="n"/>
      <c r="WY8" s="249" t="n"/>
      <c r="WZ8" s="249" t="n"/>
      <c r="XA8" s="249" t="n"/>
      <c r="XB8" s="249" t="n"/>
      <c r="XC8" s="249" t="n"/>
      <c r="XD8" s="249" t="n"/>
      <c r="XE8" s="249" t="n"/>
      <c r="XF8" s="249" t="n"/>
      <c r="XG8" s="249" t="n"/>
      <c r="XH8" s="249" t="n"/>
      <c r="XI8" s="249" t="n"/>
      <c r="XJ8" s="249" t="n"/>
      <c r="XK8" s="249" t="n"/>
      <c r="XL8" s="249" t="n"/>
      <c r="XM8" s="249" t="n"/>
      <c r="XN8" s="249" t="n"/>
      <c r="XO8" s="249" t="n"/>
      <c r="XP8" s="249" t="n"/>
      <c r="XQ8" s="249" t="n"/>
      <c r="XR8" s="249" t="n"/>
      <c r="XS8" s="249" t="n"/>
      <c r="XT8" s="249" t="n"/>
      <c r="XU8" s="249" t="n"/>
      <c r="XV8" s="249" t="n"/>
      <c r="XW8" s="249" t="n"/>
      <c r="XX8" s="249" t="n"/>
      <c r="XY8" s="249" t="n"/>
      <c r="XZ8" s="249" t="n"/>
      <c r="YA8" s="249" t="n"/>
      <c r="YB8" s="249" t="n"/>
      <c r="YC8" s="249" t="n"/>
      <c r="YD8" s="249" t="n"/>
      <c r="YE8" s="249" t="n"/>
      <c r="YF8" s="249" t="n"/>
      <c r="YG8" s="249" t="n"/>
      <c r="YH8" s="249" t="n"/>
      <c r="YI8" s="249" t="n"/>
      <c r="YJ8" s="249" t="n"/>
      <c r="YK8" s="249" t="n"/>
      <c r="YL8" s="249" t="n"/>
      <c r="YM8" s="249" t="n"/>
      <c r="YN8" s="249" t="n"/>
      <c r="YO8" s="249" t="n"/>
      <c r="YP8" s="249" t="n"/>
      <c r="YQ8" s="249" t="n"/>
      <c r="YR8" s="249" t="n"/>
      <c r="YS8" s="249" t="n"/>
      <c r="YT8" s="249" t="n"/>
      <c r="YU8" s="249" t="n"/>
      <c r="YV8" s="249" t="n"/>
      <c r="YW8" s="249" t="n"/>
      <c r="YX8" s="249" t="n"/>
      <c r="YY8" s="249" t="n"/>
      <c r="YZ8" s="249" t="n"/>
      <c r="ZA8" s="249" t="n"/>
      <c r="ZB8" s="249" t="n"/>
      <c r="ZC8" s="249" t="n"/>
      <c r="ZD8" s="249" t="n"/>
      <c r="ZE8" s="249" t="n"/>
      <c r="ZF8" s="249" t="n"/>
      <c r="ZG8" s="249" t="n"/>
      <c r="ZH8" s="249" t="n"/>
      <c r="ZI8" s="249" t="n"/>
      <c r="ZJ8" s="249" t="n"/>
      <c r="ZK8" s="249" t="n"/>
      <c r="ZL8" s="249" t="n"/>
      <c r="ZM8" s="249" t="n"/>
      <c r="ZN8" s="249" t="n"/>
      <c r="ZO8" s="249" t="n"/>
      <c r="ZP8" s="249" t="n"/>
      <c r="ZQ8" s="249" t="n"/>
      <c r="ZR8" s="249" t="n"/>
      <c r="ZS8" s="249" t="n"/>
      <c r="ZT8" s="249" t="n"/>
      <c r="ZU8" s="249" t="n"/>
      <c r="ZV8" s="249" t="n"/>
      <c r="ZW8" s="249" t="n"/>
      <c r="ZX8" s="249" t="n"/>
      <c r="ZY8" s="249" t="n"/>
      <c r="ZZ8" s="249" t="n"/>
      <c r="AAA8" s="249" t="n"/>
      <c r="AAB8" s="249" t="n"/>
      <c r="AAC8" s="249" t="n"/>
      <c r="AAD8" s="249" t="n"/>
      <c r="AAE8" s="249" t="n"/>
      <c r="AAF8" s="249" t="n"/>
      <c r="AAG8" s="249" t="n"/>
      <c r="AAH8" s="249" t="n"/>
      <c r="AAI8" s="249" t="n"/>
      <c r="AAJ8" s="249" t="n"/>
      <c r="AAK8" s="249" t="n"/>
      <c r="AAL8" s="249" t="n"/>
      <c r="AAM8" s="249" t="n"/>
      <c r="AAN8" s="249" t="n"/>
      <c r="AAO8" s="249" t="n"/>
      <c r="AAP8" s="249" t="n"/>
      <c r="AAQ8" s="249" t="n"/>
      <c r="AAR8" s="249" t="n"/>
      <c r="AAS8" s="249" t="n"/>
      <c r="AAT8" s="249" t="n"/>
      <c r="AAU8" s="249" t="n"/>
      <c r="AAV8" s="249" t="n"/>
      <c r="AAW8" s="249" t="n"/>
      <c r="AAX8" s="249" t="n"/>
      <c r="AAY8" s="249" t="n"/>
      <c r="AAZ8" s="249" t="n"/>
      <c r="ABA8" s="249" t="n"/>
      <c r="ABB8" s="249" t="n"/>
      <c r="ABC8" s="249" t="n"/>
      <c r="ABD8" s="249" t="n"/>
      <c r="ABE8" s="249" t="n"/>
      <c r="ABF8" s="249" t="n"/>
      <c r="ABG8" s="249" t="n"/>
      <c r="ABH8" s="249" t="n"/>
      <c r="ABI8" s="249" t="n"/>
      <c r="ABJ8" s="249" t="n"/>
      <c r="ABK8" s="249" t="n"/>
      <c r="ABL8" s="249" t="n"/>
      <c r="ABM8" s="249" t="n"/>
      <c r="ABN8" s="249" t="n"/>
      <c r="ABO8" s="249" t="n"/>
      <c r="ABP8" s="249" t="n"/>
      <c r="ABQ8" s="249" t="n"/>
      <c r="ABR8" s="249" t="n"/>
      <c r="ABS8" s="249" t="n"/>
      <c r="ABT8" s="249" t="n"/>
      <c r="ABU8" s="249" t="n"/>
      <c r="ABV8" s="249" t="n"/>
      <c r="ABW8" s="249" t="n"/>
      <c r="ABX8" s="249" t="n"/>
      <c r="ABY8" s="249" t="n"/>
      <c r="ABZ8" s="249" t="n"/>
      <c r="ACA8" s="249" t="n"/>
      <c r="ACB8" s="249" t="n"/>
      <c r="ACC8" s="249" t="n"/>
      <c r="ACD8" s="249" t="n"/>
      <c r="ACE8" s="249" t="n"/>
      <c r="ACF8" s="249" t="n"/>
      <c r="ACG8" s="249" t="n"/>
      <c r="ACH8" s="249" t="n"/>
      <c r="ACI8" s="249" t="n"/>
      <c r="ACJ8" s="249" t="n"/>
      <c r="ACK8" s="249" t="n"/>
      <c r="ACL8" s="249" t="n"/>
      <c r="ACM8" s="249" t="n"/>
      <c r="ACN8" s="249" t="n"/>
      <c r="ACO8" s="249" t="n"/>
      <c r="ACP8" s="249" t="n"/>
      <c r="ACQ8" s="249" t="n"/>
      <c r="ACR8" s="249" t="n"/>
      <c r="ACS8" s="249" t="n"/>
      <c r="ACT8" s="249" t="n"/>
      <c r="ACU8" s="249" t="n"/>
      <c r="ACV8" s="249" t="n"/>
      <c r="ACW8" s="249" t="n"/>
      <c r="ACX8" s="249" t="n"/>
      <c r="ACY8" s="249" t="n"/>
      <c r="ACZ8" s="249" t="n"/>
      <c r="ADA8" s="249" t="n"/>
      <c r="ADB8" s="249" t="n"/>
      <c r="ADC8" s="249" t="n"/>
      <c r="ADD8" s="249" t="n"/>
      <c r="ADE8" s="249" t="n"/>
      <c r="ADF8" s="249" t="n"/>
      <c r="ADG8" s="249" t="n"/>
      <c r="ADH8" s="249" t="n"/>
      <c r="ADI8" s="249" t="n"/>
      <c r="ADJ8" s="249" t="n"/>
      <c r="ADK8" s="249" t="n"/>
      <c r="ADL8" s="249" t="n"/>
      <c r="ADM8" s="249" t="n"/>
      <c r="ADN8" s="249" t="n"/>
      <c r="ADO8" s="249" t="n"/>
      <c r="ADP8" s="249" t="n"/>
      <c r="ADQ8" s="249" t="n"/>
      <c r="ADR8" s="249" t="n"/>
      <c r="ADS8" s="249" t="n"/>
      <c r="ADT8" s="249" t="n"/>
      <c r="ADU8" s="249" t="n"/>
      <c r="ADV8" s="249" t="n"/>
      <c r="ADW8" s="249" t="n"/>
      <c r="ADX8" s="249" t="n"/>
      <c r="ADY8" s="249" t="n"/>
      <c r="ADZ8" s="249" t="n"/>
      <c r="AEA8" s="249" t="n"/>
      <c r="AEB8" s="249" t="n"/>
      <c r="AEC8" s="249" t="n"/>
      <c r="AED8" s="249" t="n"/>
      <c r="AEE8" s="249" t="n"/>
      <c r="AEF8" s="249" t="n"/>
      <c r="AEG8" s="249" t="n"/>
      <c r="AEH8" s="249" t="n"/>
      <c r="AEI8" s="249" t="n"/>
      <c r="AEJ8" s="249" t="n"/>
      <c r="AEK8" s="249" t="n"/>
      <c r="AEL8" s="249" t="n"/>
      <c r="AEM8" s="249" t="n"/>
      <c r="AEN8" s="249" t="n"/>
      <c r="AEO8" s="249" t="n"/>
      <c r="AEP8" s="249" t="n"/>
      <c r="AEQ8" s="249" t="n"/>
      <c r="AER8" s="249" t="n"/>
      <c r="AES8" s="249" t="n"/>
      <c r="AET8" s="249" t="n"/>
      <c r="AEU8" s="249" t="n"/>
      <c r="AEV8" s="249" t="n"/>
      <c r="AEW8" s="249" t="n"/>
      <c r="AEX8" s="249" t="n"/>
      <c r="AEY8" s="249" t="n"/>
      <c r="AEZ8" s="249" t="n"/>
      <c r="AFA8" s="249" t="n"/>
      <c r="AFB8" s="249" t="n"/>
      <c r="AFC8" s="249" t="n"/>
      <c r="AFD8" s="249" t="n"/>
      <c r="AFE8" s="249" t="n"/>
      <c r="AFF8" s="249" t="n"/>
      <c r="AFG8" s="249" t="n"/>
      <c r="AFH8" s="249" t="n"/>
      <c r="AFI8" s="249" t="n"/>
      <c r="AFJ8" s="249" t="n"/>
      <c r="AFK8" s="249" t="n"/>
      <c r="AFL8" s="249" t="n"/>
      <c r="AFM8" s="249" t="n"/>
      <c r="AFN8" s="249" t="n"/>
      <c r="AFO8" s="249" t="n"/>
      <c r="AFP8" s="249" t="n"/>
      <c r="AFQ8" s="249" t="n"/>
      <c r="AFR8" s="249" t="n"/>
      <c r="AFS8" s="249" t="n"/>
      <c r="AFT8" s="249" t="n"/>
      <c r="AFU8" s="249" t="n"/>
      <c r="AFV8" s="249" t="n"/>
      <c r="AFW8" s="249" t="n"/>
      <c r="AFX8" s="249" t="n"/>
      <c r="AFY8" s="249" t="n"/>
      <c r="AFZ8" s="249" t="n"/>
      <c r="AGA8" s="249" t="n"/>
      <c r="AGB8" s="249" t="n"/>
      <c r="AGC8" s="249" t="n"/>
      <c r="AGD8" s="249" t="n"/>
      <c r="AGE8" s="249" t="n"/>
      <c r="AGF8" s="249" t="n"/>
      <c r="AGG8" s="249" t="n"/>
      <c r="AGH8" s="249" t="n"/>
      <c r="AGI8" s="249" t="n"/>
      <c r="AGJ8" s="249" t="n"/>
      <c r="AGK8" s="249" t="n"/>
      <c r="AGL8" s="249" t="n"/>
      <c r="AGM8" s="249" t="n"/>
      <c r="AGN8" s="249" t="n"/>
      <c r="AGO8" s="249" t="n"/>
      <c r="AGP8" s="249" t="n"/>
      <c r="AGQ8" s="249" t="n"/>
      <c r="AGR8" s="249" t="n"/>
      <c r="AGS8" s="249" t="n"/>
      <c r="AGT8" s="249" t="n"/>
      <c r="AGU8" s="249" t="n"/>
      <c r="AGV8" s="249" t="n"/>
      <c r="AGW8" s="249" t="n"/>
      <c r="AGX8" s="249" t="n"/>
      <c r="AGY8" s="249" t="n"/>
      <c r="AGZ8" s="249" t="n"/>
      <c r="AHA8" s="249" t="n"/>
      <c r="AHB8" s="249" t="n"/>
      <c r="AHC8" s="249" t="n"/>
      <c r="AHD8" s="249" t="n"/>
      <c r="AHE8" s="249" t="n"/>
      <c r="AHF8" s="249" t="n"/>
      <c r="AHG8" s="249" t="n"/>
      <c r="AHH8" s="249" t="n"/>
      <c r="AHI8" s="249" t="n"/>
      <c r="AHJ8" s="249" t="n"/>
      <c r="AHK8" s="249" t="n"/>
      <c r="AHL8" s="249" t="n"/>
      <c r="AHM8" s="249" t="n"/>
      <c r="AHN8" s="249" t="n"/>
      <c r="AHO8" s="249" t="n"/>
      <c r="AHP8" s="249" t="n"/>
      <c r="AHQ8" s="249" t="n"/>
      <c r="AHR8" s="249" t="n"/>
      <c r="AHS8" s="249" t="n"/>
      <c r="AHT8" s="249" t="n"/>
      <c r="AHU8" s="249" t="n"/>
      <c r="AHV8" s="249" t="n"/>
      <c r="AHW8" s="249" t="n"/>
      <c r="AHX8" s="249" t="n"/>
      <c r="AHY8" s="249" t="n"/>
      <c r="AHZ8" s="249" t="n"/>
      <c r="AIA8" s="249" t="n"/>
      <c r="AIB8" s="249" t="n"/>
      <c r="AIC8" s="249" t="n"/>
      <c r="AID8" s="249" t="n"/>
      <c r="AIE8" s="249" t="n"/>
      <c r="AIF8" s="249" t="n"/>
      <c r="AIG8" s="249" t="n"/>
      <c r="AIH8" s="249" t="n"/>
      <c r="AII8" s="249" t="n"/>
      <c r="AIJ8" s="249" t="n"/>
      <c r="AIK8" s="249" t="n"/>
      <c r="AIL8" s="249" t="n"/>
      <c r="AIM8" s="249" t="n"/>
      <c r="AIN8" s="249" t="n"/>
      <c r="AIO8" s="249" t="n"/>
      <c r="AIP8" s="249" t="n"/>
      <c r="AIQ8" s="249" t="n"/>
      <c r="AIR8" s="249" t="n"/>
      <c r="AIS8" s="249" t="n"/>
      <c r="AIT8" s="249" t="n"/>
      <c r="AIU8" s="249" t="n"/>
      <c r="AIV8" s="249" t="n"/>
      <c r="AIW8" s="249" t="n"/>
      <c r="AIX8" s="249" t="n"/>
      <c r="AIY8" s="249" t="n"/>
      <c r="AIZ8" s="249" t="n"/>
      <c r="AJA8" s="249" t="n"/>
      <c r="AJB8" s="249" t="n"/>
      <c r="AJC8" s="249" t="n"/>
      <c r="AJD8" s="249" t="n"/>
      <c r="AJE8" s="249" t="n"/>
      <c r="AJF8" s="249" t="n"/>
      <c r="AJG8" s="249" t="n"/>
      <c r="AJH8" s="249" t="n"/>
      <c r="AJI8" s="249" t="n"/>
      <c r="AJJ8" s="249" t="n"/>
      <c r="AJK8" s="249" t="n"/>
      <c r="AJL8" s="249" t="n"/>
      <c r="AJM8" s="249" t="n"/>
      <c r="AJN8" s="249" t="n"/>
      <c r="AJO8" s="249" t="n"/>
      <c r="AJP8" s="249" t="n"/>
      <c r="AJQ8" s="249" t="n"/>
      <c r="AJR8" s="249" t="n"/>
      <c r="AJS8" s="249" t="n"/>
      <c r="AJT8" s="249" t="n"/>
      <c r="AJU8" s="249" t="n"/>
      <c r="AJV8" s="249" t="n"/>
      <c r="AJW8" s="249" t="n"/>
      <c r="AJX8" s="249" t="n"/>
      <c r="AJY8" s="249" t="n"/>
      <c r="AJZ8" s="249" t="n"/>
      <c r="AKA8" s="249" t="n"/>
      <c r="AKB8" s="249" t="n"/>
      <c r="AKC8" s="249" t="n"/>
      <c r="AKD8" s="249" t="n"/>
      <c r="AKE8" s="249" t="n"/>
      <c r="AKF8" s="249" t="n"/>
      <c r="AKG8" s="249" t="n"/>
      <c r="AKH8" s="249" t="n"/>
      <c r="AKI8" s="249" t="n"/>
      <c r="AKJ8" s="249" t="n"/>
      <c r="AKK8" s="249" t="n"/>
      <c r="AKL8" s="249" t="n"/>
      <c r="AKM8" s="249" t="n"/>
      <c r="AKN8" s="249" t="n"/>
      <c r="AKO8" s="249" t="n"/>
      <c r="AKP8" s="249" t="n"/>
      <c r="AKQ8" s="249" t="n"/>
      <c r="AKR8" s="249" t="n"/>
      <c r="AKS8" s="249" t="n"/>
      <c r="AKT8" s="249" t="n"/>
      <c r="AKU8" s="249" t="n"/>
      <c r="AKV8" s="249" t="n"/>
      <c r="AKW8" s="249" t="n"/>
      <c r="AKX8" s="249" t="n"/>
      <c r="AKY8" s="249" t="n"/>
      <c r="AKZ8" s="249" t="n"/>
      <c r="ALA8" s="249" t="n"/>
      <c r="ALB8" s="249" t="n"/>
      <c r="ALC8" s="249" t="n"/>
      <c r="ALD8" s="249" t="n"/>
      <c r="ALE8" s="249" t="n"/>
      <c r="ALF8" s="249" t="n"/>
      <c r="ALG8" s="249" t="n"/>
      <c r="ALH8" s="249" t="n"/>
      <c r="ALI8" s="249" t="n"/>
      <c r="ALJ8" s="249" t="n"/>
      <c r="ALK8" s="249" t="n"/>
      <c r="ALL8" s="249" t="n"/>
      <c r="ALM8" s="249" t="n"/>
      <c r="ALN8" s="249" t="n"/>
      <c r="ALO8" s="249" t="n"/>
      <c r="ALP8" s="249" t="n"/>
      <c r="ALQ8" s="249" t="n"/>
      <c r="ALR8" s="249" t="n"/>
      <c r="ALS8" s="249" t="n"/>
      <c r="ALT8" s="249" t="n"/>
      <c r="ALU8" s="249" t="n"/>
      <c r="ALV8" s="249" t="n"/>
      <c r="ALW8" s="249" t="n"/>
      <c r="ALX8" s="249" t="n"/>
      <c r="ALY8" s="249" t="n"/>
      <c r="ALZ8" s="249" t="n"/>
      <c r="AMA8" s="249" t="n"/>
      <c r="AMB8" s="249" t="n"/>
      <c r="AMC8" s="249" t="n"/>
      <c r="AMD8" s="249" t="n"/>
    </row>
    <row r="9" ht="63" customHeight="1" s="885">
      <c r="A9" s="958" t="n"/>
      <c r="B9" s="959" t="n"/>
      <c r="C9" s="957" t="n"/>
      <c r="D9" s="250" t="n"/>
      <c r="E9" s="251" t="inlineStr">
        <is>
          <t>Dont ; Créances en souffrances</t>
        </is>
      </c>
      <c r="F9" s="251" t="inlineStr">
        <is>
          <t>Dont ; Créances à risque élevé</t>
        </is>
      </c>
      <c r="G9" s="958" t="n"/>
      <c r="H9" s="958" t="n"/>
      <c r="I9" s="958" t="n"/>
      <c r="J9" s="249" t="n"/>
      <c r="K9" s="249" t="n"/>
      <c r="L9" s="249" t="n"/>
      <c r="M9" s="249" t="n"/>
      <c r="N9" s="249" t="n"/>
      <c r="O9" s="249" t="n"/>
      <c r="P9" s="249" t="n"/>
      <c r="Q9" s="249" t="n"/>
      <c r="R9" s="249" t="n"/>
      <c r="S9" s="249" t="n"/>
      <c r="T9" s="249" t="n"/>
      <c r="U9" s="249" t="n"/>
      <c r="V9" s="249" t="n"/>
      <c r="W9" s="249" t="n"/>
      <c r="X9" s="249" t="n"/>
      <c r="Y9" s="249" t="n"/>
      <c r="Z9" s="249" t="n"/>
      <c r="AA9" s="249" t="n"/>
      <c r="AB9" s="249" t="n"/>
      <c r="AC9" s="249" t="n"/>
      <c r="AD9" s="249" t="n"/>
      <c r="AE9" s="249" t="n"/>
      <c r="AF9" s="249" t="n"/>
      <c r="AG9" s="249" t="n"/>
      <c r="AH9" s="249" t="n"/>
      <c r="AI9" s="249" t="n"/>
      <c r="AJ9" s="249" t="n"/>
      <c r="AK9" s="249" t="n"/>
      <c r="AL9" s="249" t="n"/>
      <c r="AM9" s="249" t="n"/>
      <c r="AN9" s="249" t="n"/>
      <c r="AO9" s="249" t="n"/>
      <c r="AP9" s="249" t="n"/>
      <c r="AQ9" s="249" t="n"/>
      <c r="AR9" s="249" t="n"/>
      <c r="AS9" s="249" t="n"/>
      <c r="AT9" s="249" t="n"/>
      <c r="AU9" s="249" t="n"/>
      <c r="AV9" s="249" t="n"/>
      <c r="AW9" s="249" t="n"/>
      <c r="AX9" s="249" t="n"/>
      <c r="AY9" s="249" t="n"/>
      <c r="AZ9" s="249" t="n"/>
      <c r="BA9" s="249" t="n"/>
      <c r="BB9" s="249" t="n"/>
      <c r="BC9" s="249" t="n"/>
      <c r="BD9" s="249" t="n"/>
      <c r="BE9" s="249" t="n"/>
      <c r="BF9" s="249" t="n"/>
      <c r="BG9" s="249" t="n"/>
      <c r="BH9" s="249" t="n"/>
      <c r="BI9" s="249" t="n"/>
      <c r="BJ9" s="249" t="n"/>
      <c r="BK9" s="249" t="n"/>
      <c r="BL9" s="249" t="n"/>
      <c r="BM9" s="249" t="n"/>
      <c r="BN9" s="249" t="n"/>
      <c r="BO9" s="249" t="n"/>
      <c r="BP9" s="249" t="n"/>
      <c r="BQ9" s="249" t="n"/>
      <c r="BR9" s="249" t="n"/>
      <c r="BS9" s="249" t="n"/>
      <c r="BT9" s="249" t="n"/>
      <c r="BU9" s="249" t="n"/>
      <c r="BV9" s="249" t="n"/>
      <c r="BW9" s="249" t="n"/>
      <c r="BX9" s="249" t="n"/>
      <c r="BY9" s="249" t="n"/>
      <c r="BZ9" s="249" t="n"/>
      <c r="CA9" s="249" t="n"/>
      <c r="CB9" s="249" t="n"/>
      <c r="CC9" s="249" t="n"/>
      <c r="CD9" s="249" t="n"/>
      <c r="CE9" s="249" t="n"/>
      <c r="CF9" s="249" t="n"/>
      <c r="CG9" s="249" t="n"/>
      <c r="CH9" s="249" t="n"/>
      <c r="CI9" s="249" t="n"/>
      <c r="CJ9" s="249" t="n"/>
      <c r="CK9" s="249" t="n"/>
      <c r="CL9" s="249" t="n"/>
      <c r="CM9" s="249" t="n"/>
      <c r="CN9" s="249" t="n"/>
      <c r="CO9" s="249" t="n"/>
      <c r="CP9" s="249" t="n"/>
      <c r="CQ9" s="249" t="n"/>
      <c r="CR9" s="249" t="n"/>
      <c r="CS9" s="249" t="n"/>
      <c r="CT9" s="249" t="n"/>
      <c r="CU9" s="249" t="n"/>
      <c r="CV9" s="249" t="n"/>
      <c r="CW9" s="249" t="n"/>
      <c r="CX9" s="249" t="n"/>
      <c r="CY9" s="249" t="n"/>
      <c r="CZ9" s="249" t="n"/>
      <c r="DA9" s="249" t="n"/>
      <c r="DB9" s="249" t="n"/>
      <c r="DC9" s="249" t="n"/>
      <c r="DD9" s="249" t="n"/>
      <c r="DE9" s="249" t="n"/>
      <c r="DF9" s="249" t="n"/>
      <c r="DG9" s="249" t="n"/>
      <c r="DH9" s="249" t="n"/>
      <c r="DI9" s="249" t="n"/>
      <c r="DJ9" s="249" t="n"/>
      <c r="DK9" s="249" t="n"/>
      <c r="DL9" s="249" t="n"/>
      <c r="DM9" s="249" t="n"/>
      <c r="DN9" s="249" t="n"/>
      <c r="DO9" s="249" t="n"/>
      <c r="DP9" s="249" t="n"/>
      <c r="DQ9" s="249" t="n"/>
      <c r="DR9" s="249" t="n"/>
      <c r="DS9" s="249" t="n"/>
      <c r="DT9" s="249" t="n"/>
      <c r="DU9" s="249" t="n"/>
      <c r="DV9" s="249" t="n"/>
      <c r="DW9" s="249" t="n"/>
      <c r="DX9" s="249" t="n"/>
      <c r="DY9" s="249" t="n"/>
      <c r="DZ9" s="249" t="n"/>
      <c r="EA9" s="249" t="n"/>
      <c r="EB9" s="249" t="n"/>
      <c r="EC9" s="249" t="n"/>
      <c r="ED9" s="249" t="n"/>
      <c r="EE9" s="249" t="n"/>
      <c r="EF9" s="249" t="n"/>
      <c r="EG9" s="249" t="n"/>
      <c r="EH9" s="249" t="n"/>
      <c r="EI9" s="249" t="n"/>
      <c r="EJ9" s="249" t="n"/>
      <c r="EK9" s="249" t="n"/>
      <c r="EL9" s="249" t="n"/>
      <c r="EM9" s="249" t="n"/>
      <c r="EN9" s="249" t="n"/>
      <c r="EO9" s="249" t="n"/>
      <c r="EP9" s="249" t="n"/>
      <c r="EQ9" s="249" t="n"/>
      <c r="ER9" s="249" t="n"/>
      <c r="ES9" s="249" t="n"/>
      <c r="ET9" s="249" t="n"/>
      <c r="EU9" s="249" t="n"/>
      <c r="EV9" s="249" t="n"/>
      <c r="EW9" s="249" t="n"/>
      <c r="EX9" s="249" t="n"/>
      <c r="EY9" s="249" t="n"/>
      <c r="EZ9" s="249" t="n"/>
      <c r="FA9" s="249" t="n"/>
      <c r="FB9" s="249" t="n"/>
      <c r="FC9" s="249" t="n"/>
      <c r="FD9" s="249" t="n"/>
      <c r="FE9" s="249" t="n"/>
      <c r="FF9" s="249" t="n"/>
      <c r="FG9" s="249" t="n"/>
      <c r="FH9" s="249" t="n"/>
      <c r="FI9" s="249" t="n"/>
      <c r="FJ9" s="249" t="n"/>
      <c r="FK9" s="249" t="n"/>
      <c r="FL9" s="249" t="n"/>
      <c r="FM9" s="249" t="n"/>
      <c r="FN9" s="249" t="n"/>
      <c r="FO9" s="249" t="n"/>
      <c r="FP9" s="249" t="n"/>
      <c r="FQ9" s="249" t="n"/>
      <c r="FR9" s="249" t="n"/>
      <c r="FS9" s="249" t="n"/>
      <c r="FT9" s="249" t="n"/>
      <c r="FU9" s="249" t="n"/>
      <c r="FV9" s="249" t="n"/>
      <c r="FW9" s="249" t="n"/>
      <c r="FX9" s="249" t="n"/>
      <c r="FY9" s="249" t="n"/>
      <c r="FZ9" s="249" t="n"/>
      <c r="GA9" s="249" t="n"/>
      <c r="GB9" s="249" t="n"/>
      <c r="GC9" s="249" t="n"/>
      <c r="GD9" s="249" t="n"/>
      <c r="GE9" s="249" t="n"/>
      <c r="GF9" s="249" t="n"/>
      <c r="GG9" s="249" t="n"/>
      <c r="GH9" s="249" t="n"/>
      <c r="GI9" s="249" t="n"/>
      <c r="GJ9" s="249" t="n"/>
      <c r="GK9" s="249" t="n"/>
      <c r="GL9" s="249" t="n"/>
      <c r="GM9" s="249" t="n"/>
      <c r="GN9" s="249" t="n"/>
      <c r="GO9" s="249" t="n"/>
      <c r="GP9" s="249" t="n"/>
      <c r="GQ9" s="249" t="n"/>
      <c r="GR9" s="249" t="n"/>
      <c r="GS9" s="249" t="n"/>
      <c r="GT9" s="249" t="n"/>
      <c r="GU9" s="249" t="n"/>
      <c r="GV9" s="249" t="n"/>
      <c r="GW9" s="249" t="n"/>
      <c r="GX9" s="249" t="n"/>
      <c r="GY9" s="249" t="n"/>
      <c r="GZ9" s="249" t="n"/>
      <c r="HA9" s="249" t="n"/>
      <c r="HB9" s="249" t="n"/>
      <c r="HC9" s="249" t="n"/>
      <c r="HD9" s="249" t="n"/>
      <c r="HE9" s="249" t="n"/>
      <c r="HF9" s="249" t="n"/>
      <c r="HG9" s="249" t="n"/>
      <c r="HH9" s="249" t="n"/>
      <c r="HI9" s="249" t="n"/>
      <c r="HJ9" s="249" t="n"/>
      <c r="HK9" s="249" t="n"/>
      <c r="HL9" s="249" t="n"/>
      <c r="HM9" s="249" t="n"/>
      <c r="HN9" s="249" t="n"/>
      <c r="HO9" s="249" t="n"/>
      <c r="HP9" s="249" t="n"/>
      <c r="HQ9" s="249" t="n"/>
      <c r="HR9" s="249" t="n"/>
      <c r="HS9" s="249" t="n"/>
      <c r="HT9" s="249" t="n"/>
      <c r="HU9" s="249" t="n"/>
      <c r="HV9" s="249" t="n"/>
      <c r="HW9" s="249" t="n"/>
      <c r="HX9" s="249" t="n"/>
      <c r="HY9" s="249" t="n"/>
      <c r="HZ9" s="249" t="n"/>
      <c r="IA9" s="249" t="n"/>
      <c r="IB9" s="249" t="n"/>
      <c r="IC9" s="249" t="n"/>
      <c r="ID9" s="249" t="n"/>
      <c r="IE9" s="249" t="n"/>
      <c r="IF9" s="249" t="n"/>
      <c r="IG9" s="249" t="n"/>
      <c r="IH9" s="249" t="n"/>
      <c r="II9" s="249" t="n"/>
      <c r="IJ9" s="249" t="n"/>
      <c r="IK9" s="249" t="n"/>
      <c r="IL9" s="249" t="n"/>
      <c r="IM9" s="249" t="n"/>
      <c r="IN9" s="249" t="n"/>
      <c r="IO9" s="249" t="n"/>
      <c r="IP9" s="249" t="n"/>
      <c r="IQ9" s="249" t="n"/>
      <c r="IR9" s="249" t="n"/>
      <c r="IS9" s="249" t="n"/>
      <c r="IT9" s="249" t="n"/>
      <c r="IU9" s="249" t="n"/>
      <c r="IV9" s="249" t="n"/>
      <c r="IW9" s="249" t="n"/>
      <c r="IX9" s="249" t="n"/>
      <c r="IY9" s="249" t="n"/>
      <c r="IZ9" s="249" t="n"/>
      <c r="JA9" s="249" t="n"/>
      <c r="JB9" s="249" t="n"/>
      <c r="JC9" s="249" t="n"/>
      <c r="JD9" s="249" t="n"/>
      <c r="JE9" s="249" t="n"/>
      <c r="JF9" s="249" t="n"/>
      <c r="JG9" s="249" t="n"/>
      <c r="JH9" s="249" t="n"/>
      <c r="JI9" s="249" t="n"/>
      <c r="JJ9" s="249" t="n"/>
      <c r="JK9" s="249" t="n"/>
      <c r="JL9" s="249" t="n"/>
      <c r="JM9" s="249" t="n"/>
      <c r="JN9" s="249" t="n"/>
      <c r="JO9" s="249" t="n"/>
      <c r="JP9" s="249" t="n"/>
      <c r="JQ9" s="249" t="n"/>
      <c r="JR9" s="249" t="n"/>
      <c r="JS9" s="249" t="n"/>
      <c r="JT9" s="249" t="n"/>
      <c r="JU9" s="249" t="n"/>
      <c r="JV9" s="249" t="n"/>
      <c r="JW9" s="249" t="n"/>
      <c r="JX9" s="249" t="n"/>
      <c r="JY9" s="249" t="n"/>
      <c r="JZ9" s="249" t="n"/>
      <c r="KA9" s="249" t="n"/>
      <c r="KB9" s="249" t="n"/>
      <c r="KC9" s="249" t="n"/>
      <c r="KD9" s="249" t="n"/>
      <c r="KE9" s="249" t="n"/>
      <c r="KF9" s="249" t="n"/>
      <c r="KG9" s="249" t="n"/>
      <c r="KH9" s="249" t="n"/>
      <c r="KI9" s="249" t="n"/>
      <c r="KJ9" s="249" t="n"/>
      <c r="KK9" s="249" t="n"/>
      <c r="KL9" s="249" t="n"/>
      <c r="KM9" s="249" t="n"/>
      <c r="KN9" s="249" t="n"/>
      <c r="KO9" s="249" t="n"/>
      <c r="KP9" s="249" t="n"/>
      <c r="KQ9" s="249" t="n"/>
      <c r="KR9" s="249" t="n"/>
      <c r="KS9" s="249" t="n"/>
      <c r="KT9" s="249" t="n"/>
      <c r="KU9" s="249" t="n"/>
      <c r="KV9" s="249" t="n"/>
      <c r="KW9" s="249" t="n"/>
      <c r="KX9" s="249" t="n"/>
      <c r="KY9" s="249" t="n"/>
      <c r="KZ9" s="249" t="n"/>
      <c r="LA9" s="249" t="n"/>
      <c r="LB9" s="249" t="n"/>
      <c r="LC9" s="249" t="n"/>
      <c r="LD9" s="249" t="n"/>
      <c r="LE9" s="249" t="n"/>
      <c r="LF9" s="249" t="n"/>
      <c r="LG9" s="249" t="n"/>
      <c r="LH9" s="249" t="n"/>
      <c r="LI9" s="249" t="n"/>
      <c r="LJ9" s="249" t="n"/>
      <c r="LK9" s="249" t="n"/>
      <c r="LL9" s="249" t="n"/>
      <c r="LM9" s="249" t="n"/>
      <c r="LN9" s="249" t="n"/>
      <c r="LO9" s="249" t="n"/>
      <c r="LP9" s="249" t="n"/>
      <c r="LQ9" s="249" t="n"/>
      <c r="LR9" s="249" t="n"/>
      <c r="LS9" s="249" t="n"/>
      <c r="LT9" s="249" t="n"/>
      <c r="LU9" s="249" t="n"/>
      <c r="LV9" s="249" t="n"/>
      <c r="LW9" s="249" t="n"/>
      <c r="LX9" s="249" t="n"/>
      <c r="LY9" s="249" t="n"/>
      <c r="LZ9" s="249" t="n"/>
      <c r="MA9" s="249" t="n"/>
      <c r="MB9" s="249" t="n"/>
      <c r="MC9" s="249" t="n"/>
      <c r="MD9" s="249" t="n"/>
      <c r="ME9" s="249" t="n"/>
      <c r="MF9" s="249" t="n"/>
      <c r="MG9" s="249" t="n"/>
      <c r="MH9" s="249" t="n"/>
      <c r="MI9" s="249" t="n"/>
      <c r="MJ9" s="249" t="n"/>
      <c r="MK9" s="249" t="n"/>
      <c r="ML9" s="249" t="n"/>
      <c r="MM9" s="249" t="n"/>
      <c r="MN9" s="249" t="n"/>
      <c r="MO9" s="249" t="n"/>
      <c r="MP9" s="249" t="n"/>
      <c r="MQ9" s="249" t="n"/>
      <c r="MR9" s="249" t="n"/>
      <c r="MS9" s="249" t="n"/>
      <c r="MT9" s="249" t="n"/>
      <c r="MU9" s="249" t="n"/>
      <c r="MV9" s="249" t="n"/>
      <c r="MW9" s="249" t="n"/>
      <c r="MX9" s="249" t="n"/>
      <c r="MY9" s="249" t="n"/>
      <c r="MZ9" s="249" t="n"/>
      <c r="NA9" s="249" t="n"/>
      <c r="NB9" s="249" t="n"/>
      <c r="NC9" s="249" t="n"/>
      <c r="ND9" s="249" t="n"/>
      <c r="NE9" s="249" t="n"/>
      <c r="NF9" s="249" t="n"/>
      <c r="NG9" s="249" t="n"/>
      <c r="NH9" s="249" t="n"/>
      <c r="NI9" s="249" t="n"/>
      <c r="NJ9" s="249" t="n"/>
      <c r="NK9" s="249" t="n"/>
      <c r="NL9" s="249" t="n"/>
      <c r="NM9" s="249" t="n"/>
      <c r="NN9" s="249" t="n"/>
      <c r="NO9" s="249" t="n"/>
      <c r="NP9" s="249" t="n"/>
      <c r="NQ9" s="249" t="n"/>
      <c r="NR9" s="249" t="n"/>
      <c r="NS9" s="249" t="n"/>
      <c r="NT9" s="249" t="n"/>
      <c r="NU9" s="249" t="n"/>
      <c r="NV9" s="249" t="n"/>
      <c r="NW9" s="249" t="n"/>
      <c r="NX9" s="249" t="n"/>
      <c r="NY9" s="249" t="n"/>
      <c r="NZ9" s="249" t="n"/>
      <c r="OA9" s="249" t="n"/>
      <c r="OB9" s="249" t="n"/>
      <c r="OC9" s="249" t="n"/>
      <c r="OD9" s="249" t="n"/>
      <c r="OE9" s="249" t="n"/>
      <c r="OF9" s="249" t="n"/>
      <c r="OG9" s="249" t="n"/>
      <c r="OH9" s="249" t="n"/>
      <c r="OI9" s="249" t="n"/>
      <c r="OJ9" s="249" t="n"/>
      <c r="OK9" s="249" t="n"/>
      <c r="OL9" s="249" t="n"/>
      <c r="OM9" s="249" t="n"/>
      <c r="ON9" s="249" t="n"/>
      <c r="OO9" s="249" t="n"/>
      <c r="OP9" s="249" t="n"/>
      <c r="OQ9" s="249" t="n"/>
      <c r="OR9" s="249" t="n"/>
      <c r="OS9" s="249" t="n"/>
      <c r="OT9" s="249" t="n"/>
      <c r="OU9" s="249" t="n"/>
      <c r="OV9" s="249" t="n"/>
      <c r="OW9" s="249" t="n"/>
      <c r="OX9" s="249" t="n"/>
      <c r="OY9" s="249" t="n"/>
      <c r="OZ9" s="249" t="n"/>
      <c r="PA9" s="249" t="n"/>
      <c r="PB9" s="249" t="n"/>
      <c r="PC9" s="249" t="n"/>
      <c r="PD9" s="249" t="n"/>
      <c r="PE9" s="249" t="n"/>
      <c r="PF9" s="249" t="n"/>
      <c r="PG9" s="249" t="n"/>
      <c r="PH9" s="249" t="n"/>
      <c r="PI9" s="249" t="n"/>
      <c r="PJ9" s="249" t="n"/>
      <c r="PK9" s="249" t="n"/>
      <c r="PL9" s="249" t="n"/>
      <c r="PM9" s="249" t="n"/>
      <c r="PN9" s="249" t="n"/>
      <c r="PO9" s="249" t="n"/>
      <c r="PP9" s="249" t="n"/>
      <c r="PQ9" s="249" t="n"/>
      <c r="PR9" s="249" t="n"/>
      <c r="PS9" s="249" t="n"/>
      <c r="PT9" s="249" t="n"/>
      <c r="PU9" s="249" t="n"/>
      <c r="PV9" s="249" t="n"/>
      <c r="PW9" s="249" t="n"/>
      <c r="PX9" s="249" t="n"/>
      <c r="PY9" s="249" t="n"/>
      <c r="PZ9" s="249" t="n"/>
      <c r="QA9" s="249" t="n"/>
      <c r="QB9" s="249" t="n"/>
      <c r="QC9" s="249" t="n"/>
      <c r="QD9" s="249" t="n"/>
      <c r="QE9" s="249" t="n"/>
      <c r="QF9" s="249" t="n"/>
      <c r="QG9" s="249" t="n"/>
      <c r="QH9" s="249" t="n"/>
      <c r="QI9" s="249" t="n"/>
      <c r="QJ9" s="249" t="n"/>
      <c r="QK9" s="249" t="n"/>
      <c r="QL9" s="249" t="n"/>
      <c r="QM9" s="249" t="n"/>
      <c r="QN9" s="249" t="n"/>
      <c r="QO9" s="249" t="n"/>
      <c r="QP9" s="249" t="n"/>
      <c r="QQ9" s="249" t="n"/>
      <c r="QR9" s="249" t="n"/>
      <c r="QS9" s="249" t="n"/>
      <c r="QT9" s="249" t="n"/>
      <c r="QU9" s="249" t="n"/>
      <c r="QV9" s="249" t="n"/>
      <c r="QW9" s="249" t="n"/>
      <c r="QX9" s="249" t="n"/>
      <c r="QY9" s="249" t="n"/>
      <c r="QZ9" s="249" t="n"/>
      <c r="RA9" s="249" t="n"/>
      <c r="RB9" s="249" t="n"/>
      <c r="RC9" s="249" t="n"/>
      <c r="RD9" s="249" t="n"/>
      <c r="RE9" s="249" t="n"/>
      <c r="RF9" s="249" t="n"/>
      <c r="RG9" s="249" t="n"/>
      <c r="RH9" s="249" t="n"/>
      <c r="RI9" s="249" t="n"/>
      <c r="RJ9" s="249" t="n"/>
      <c r="RK9" s="249" t="n"/>
      <c r="RL9" s="249" t="n"/>
      <c r="RM9" s="249" t="n"/>
      <c r="RN9" s="249" t="n"/>
      <c r="RO9" s="249" t="n"/>
      <c r="RP9" s="249" t="n"/>
      <c r="RQ9" s="249" t="n"/>
      <c r="RR9" s="249" t="n"/>
      <c r="RS9" s="249" t="n"/>
      <c r="RT9" s="249" t="n"/>
      <c r="RU9" s="249" t="n"/>
      <c r="RV9" s="249" t="n"/>
      <c r="RW9" s="249" t="n"/>
      <c r="RX9" s="249" t="n"/>
      <c r="RY9" s="249" t="n"/>
      <c r="RZ9" s="249" t="n"/>
      <c r="SA9" s="249" t="n"/>
      <c r="SB9" s="249" t="n"/>
      <c r="SC9" s="249" t="n"/>
      <c r="SD9" s="249" t="n"/>
      <c r="SE9" s="249" t="n"/>
      <c r="SF9" s="249" t="n"/>
      <c r="SG9" s="249" t="n"/>
      <c r="SH9" s="249" t="n"/>
      <c r="SI9" s="249" t="n"/>
      <c r="SJ9" s="249" t="n"/>
      <c r="SK9" s="249" t="n"/>
      <c r="SL9" s="249" t="n"/>
      <c r="SM9" s="249" t="n"/>
      <c r="SN9" s="249" t="n"/>
      <c r="SO9" s="249" t="n"/>
      <c r="SP9" s="249" t="n"/>
      <c r="SQ9" s="249" t="n"/>
      <c r="SR9" s="249" t="n"/>
      <c r="SS9" s="249" t="n"/>
      <c r="ST9" s="249" t="n"/>
      <c r="SU9" s="249" t="n"/>
      <c r="SV9" s="249" t="n"/>
      <c r="SW9" s="249" t="n"/>
      <c r="SX9" s="249" t="n"/>
      <c r="SY9" s="249" t="n"/>
      <c r="SZ9" s="249" t="n"/>
      <c r="TA9" s="249" t="n"/>
      <c r="TB9" s="249" t="n"/>
      <c r="TC9" s="249" t="n"/>
      <c r="TD9" s="249" t="n"/>
      <c r="TE9" s="249" t="n"/>
      <c r="TF9" s="249" t="n"/>
      <c r="TG9" s="249" t="n"/>
      <c r="TH9" s="249" t="n"/>
      <c r="TI9" s="249" t="n"/>
      <c r="TJ9" s="249" t="n"/>
      <c r="TK9" s="249" t="n"/>
      <c r="TL9" s="249" t="n"/>
      <c r="TM9" s="249" t="n"/>
      <c r="TN9" s="249" t="n"/>
      <c r="TO9" s="249" t="n"/>
      <c r="TP9" s="249" t="n"/>
      <c r="TQ9" s="249" t="n"/>
      <c r="TR9" s="249" t="n"/>
      <c r="TS9" s="249" t="n"/>
      <c r="TT9" s="249" t="n"/>
      <c r="TU9" s="249" t="n"/>
      <c r="TV9" s="249" t="n"/>
      <c r="TW9" s="249" t="n"/>
      <c r="TX9" s="249" t="n"/>
      <c r="TY9" s="249" t="n"/>
      <c r="TZ9" s="249" t="n"/>
      <c r="UA9" s="249" t="n"/>
      <c r="UB9" s="249" t="n"/>
      <c r="UC9" s="249" t="n"/>
      <c r="UD9" s="249" t="n"/>
      <c r="UE9" s="249" t="n"/>
      <c r="UF9" s="249" t="n"/>
      <c r="UG9" s="249" t="n"/>
      <c r="UH9" s="249" t="n"/>
      <c r="UI9" s="249" t="n"/>
      <c r="UJ9" s="249" t="n"/>
      <c r="UK9" s="249" t="n"/>
      <c r="UL9" s="249" t="n"/>
      <c r="UM9" s="249" t="n"/>
      <c r="UN9" s="249" t="n"/>
      <c r="UO9" s="249" t="n"/>
      <c r="UP9" s="249" t="n"/>
      <c r="UQ9" s="249" t="n"/>
      <c r="UR9" s="249" t="n"/>
      <c r="US9" s="249" t="n"/>
      <c r="UT9" s="249" t="n"/>
      <c r="UU9" s="249" t="n"/>
      <c r="UV9" s="249" t="n"/>
      <c r="UW9" s="249" t="n"/>
      <c r="UX9" s="249" t="n"/>
      <c r="UY9" s="249" t="n"/>
      <c r="UZ9" s="249" t="n"/>
      <c r="VA9" s="249" t="n"/>
      <c r="VB9" s="249" t="n"/>
      <c r="VC9" s="249" t="n"/>
      <c r="VD9" s="249" t="n"/>
      <c r="VE9" s="249" t="n"/>
      <c r="VF9" s="249" t="n"/>
      <c r="VG9" s="249" t="n"/>
      <c r="VH9" s="249" t="n"/>
      <c r="VI9" s="249" t="n"/>
      <c r="VJ9" s="249" t="n"/>
      <c r="VK9" s="249" t="n"/>
      <c r="VL9" s="249" t="n"/>
      <c r="VM9" s="249" t="n"/>
      <c r="VN9" s="249" t="n"/>
      <c r="VO9" s="249" t="n"/>
      <c r="VP9" s="249" t="n"/>
      <c r="VQ9" s="249" t="n"/>
      <c r="VR9" s="249" t="n"/>
      <c r="VS9" s="249" t="n"/>
      <c r="VT9" s="249" t="n"/>
      <c r="VU9" s="249" t="n"/>
      <c r="VV9" s="249" t="n"/>
      <c r="VW9" s="249" t="n"/>
      <c r="VX9" s="249" t="n"/>
      <c r="VY9" s="249" t="n"/>
      <c r="VZ9" s="249" t="n"/>
      <c r="WA9" s="249" t="n"/>
      <c r="WB9" s="249" t="n"/>
      <c r="WC9" s="249" t="n"/>
      <c r="WD9" s="249" t="n"/>
      <c r="WE9" s="249" t="n"/>
      <c r="WF9" s="249" t="n"/>
      <c r="WG9" s="249" t="n"/>
      <c r="WH9" s="249" t="n"/>
      <c r="WI9" s="249" t="n"/>
      <c r="WJ9" s="249" t="n"/>
      <c r="WK9" s="249" t="n"/>
      <c r="WL9" s="249" t="n"/>
      <c r="WM9" s="249" t="n"/>
      <c r="WN9" s="249" t="n"/>
      <c r="WO9" s="249" t="n"/>
      <c r="WP9" s="249" t="n"/>
      <c r="WQ9" s="249" t="n"/>
      <c r="WR9" s="249" t="n"/>
      <c r="WS9" s="249" t="n"/>
      <c r="WT9" s="249" t="n"/>
      <c r="WU9" s="249" t="n"/>
      <c r="WV9" s="249" t="n"/>
      <c r="WW9" s="249" t="n"/>
      <c r="WX9" s="249" t="n"/>
      <c r="WY9" s="249" t="n"/>
      <c r="WZ9" s="249" t="n"/>
      <c r="XA9" s="249" t="n"/>
      <c r="XB9" s="249" t="n"/>
      <c r="XC9" s="249" t="n"/>
      <c r="XD9" s="249" t="n"/>
      <c r="XE9" s="249" t="n"/>
      <c r="XF9" s="249" t="n"/>
      <c r="XG9" s="249" t="n"/>
      <c r="XH9" s="249" t="n"/>
      <c r="XI9" s="249" t="n"/>
      <c r="XJ9" s="249" t="n"/>
      <c r="XK9" s="249" t="n"/>
      <c r="XL9" s="249" t="n"/>
      <c r="XM9" s="249" t="n"/>
      <c r="XN9" s="249" t="n"/>
      <c r="XO9" s="249" t="n"/>
      <c r="XP9" s="249" t="n"/>
      <c r="XQ9" s="249" t="n"/>
      <c r="XR9" s="249" t="n"/>
      <c r="XS9" s="249" t="n"/>
      <c r="XT9" s="249" t="n"/>
      <c r="XU9" s="249" t="n"/>
      <c r="XV9" s="249" t="n"/>
      <c r="XW9" s="249" t="n"/>
      <c r="XX9" s="249" t="n"/>
      <c r="XY9" s="249" t="n"/>
      <c r="XZ9" s="249" t="n"/>
      <c r="YA9" s="249" t="n"/>
      <c r="YB9" s="249" t="n"/>
      <c r="YC9" s="249" t="n"/>
      <c r="YD9" s="249" t="n"/>
      <c r="YE9" s="249" t="n"/>
      <c r="YF9" s="249" t="n"/>
      <c r="YG9" s="249" t="n"/>
      <c r="YH9" s="249" t="n"/>
      <c r="YI9" s="249" t="n"/>
      <c r="YJ9" s="249" t="n"/>
      <c r="YK9" s="249" t="n"/>
      <c r="YL9" s="249" t="n"/>
      <c r="YM9" s="249" t="n"/>
      <c r="YN9" s="249" t="n"/>
      <c r="YO9" s="249" t="n"/>
      <c r="YP9" s="249" t="n"/>
      <c r="YQ9" s="249" t="n"/>
      <c r="YR9" s="249" t="n"/>
      <c r="YS9" s="249" t="n"/>
      <c r="YT9" s="249" t="n"/>
      <c r="YU9" s="249" t="n"/>
      <c r="YV9" s="249" t="n"/>
      <c r="YW9" s="249" t="n"/>
      <c r="YX9" s="249" t="n"/>
      <c r="YY9" s="249" t="n"/>
      <c r="YZ9" s="249" t="n"/>
      <c r="ZA9" s="249" t="n"/>
      <c r="ZB9" s="249" t="n"/>
      <c r="ZC9" s="249" t="n"/>
      <c r="ZD9" s="249" t="n"/>
      <c r="ZE9" s="249" t="n"/>
      <c r="ZF9" s="249" t="n"/>
      <c r="ZG9" s="249" t="n"/>
      <c r="ZH9" s="249" t="n"/>
      <c r="ZI9" s="249" t="n"/>
      <c r="ZJ9" s="249" t="n"/>
      <c r="ZK9" s="249" t="n"/>
      <c r="ZL9" s="249" t="n"/>
      <c r="ZM9" s="249" t="n"/>
      <c r="ZN9" s="249" t="n"/>
      <c r="ZO9" s="249" t="n"/>
      <c r="ZP9" s="249" t="n"/>
      <c r="ZQ9" s="249" t="n"/>
      <c r="ZR9" s="249" t="n"/>
      <c r="ZS9" s="249" t="n"/>
      <c r="ZT9" s="249" t="n"/>
      <c r="ZU9" s="249" t="n"/>
      <c r="ZV9" s="249" t="n"/>
      <c r="ZW9" s="249" t="n"/>
      <c r="ZX9" s="249" t="n"/>
      <c r="ZY9" s="249" t="n"/>
      <c r="ZZ9" s="249" t="n"/>
      <c r="AAA9" s="249" t="n"/>
      <c r="AAB9" s="249" t="n"/>
      <c r="AAC9" s="249" t="n"/>
      <c r="AAD9" s="249" t="n"/>
      <c r="AAE9" s="249" t="n"/>
      <c r="AAF9" s="249" t="n"/>
      <c r="AAG9" s="249" t="n"/>
      <c r="AAH9" s="249" t="n"/>
      <c r="AAI9" s="249" t="n"/>
      <c r="AAJ9" s="249" t="n"/>
      <c r="AAK9" s="249" t="n"/>
      <c r="AAL9" s="249" t="n"/>
      <c r="AAM9" s="249" t="n"/>
      <c r="AAN9" s="249" t="n"/>
      <c r="AAO9" s="249" t="n"/>
      <c r="AAP9" s="249" t="n"/>
      <c r="AAQ9" s="249" t="n"/>
      <c r="AAR9" s="249" t="n"/>
      <c r="AAS9" s="249" t="n"/>
      <c r="AAT9" s="249" t="n"/>
      <c r="AAU9" s="249" t="n"/>
      <c r="AAV9" s="249" t="n"/>
      <c r="AAW9" s="249" t="n"/>
      <c r="AAX9" s="249" t="n"/>
      <c r="AAY9" s="249" t="n"/>
      <c r="AAZ9" s="249" t="n"/>
      <c r="ABA9" s="249" t="n"/>
      <c r="ABB9" s="249" t="n"/>
      <c r="ABC9" s="249" t="n"/>
      <c r="ABD9" s="249" t="n"/>
      <c r="ABE9" s="249" t="n"/>
      <c r="ABF9" s="249" t="n"/>
      <c r="ABG9" s="249" t="n"/>
      <c r="ABH9" s="249" t="n"/>
      <c r="ABI9" s="249" t="n"/>
      <c r="ABJ9" s="249" t="n"/>
      <c r="ABK9" s="249" t="n"/>
      <c r="ABL9" s="249" t="n"/>
      <c r="ABM9" s="249" t="n"/>
      <c r="ABN9" s="249" t="n"/>
      <c r="ABO9" s="249" t="n"/>
      <c r="ABP9" s="249" t="n"/>
      <c r="ABQ9" s="249" t="n"/>
      <c r="ABR9" s="249" t="n"/>
      <c r="ABS9" s="249" t="n"/>
      <c r="ABT9" s="249" t="n"/>
      <c r="ABU9" s="249" t="n"/>
      <c r="ABV9" s="249" t="n"/>
      <c r="ABW9" s="249" t="n"/>
      <c r="ABX9" s="249" t="n"/>
      <c r="ABY9" s="249" t="n"/>
      <c r="ABZ9" s="249" t="n"/>
      <c r="ACA9" s="249" t="n"/>
      <c r="ACB9" s="249" t="n"/>
      <c r="ACC9" s="249" t="n"/>
      <c r="ACD9" s="249" t="n"/>
      <c r="ACE9" s="249" t="n"/>
      <c r="ACF9" s="249" t="n"/>
      <c r="ACG9" s="249" t="n"/>
      <c r="ACH9" s="249" t="n"/>
      <c r="ACI9" s="249" t="n"/>
      <c r="ACJ9" s="249" t="n"/>
      <c r="ACK9" s="249" t="n"/>
      <c r="ACL9" s="249" t="n"/>
      <c r="ACM9" s="249" t="n"/>
      <c r="ACN9" s="249" t="n"/>
      <c r="ACO9" s="249" t="n"/>
      <c r="ACP9" s="249" t="n"/>
      <c r="ACQ9" s="249" t="n"/>
      <c r="ACR9" s="249" t="n"/>
      <c r="ACS9" s="249" t="n"/>
      <c r="ACT9" s="249" t="n"/>
      <c r="ACU9" s="249" t="n"/>
      <c r="ACV9" s="249" t="n"/>
      <c r="ACW9" s="249" t="n"/>
      <c r="ACX9" s="249" t="n"/>
      <c r="ACY9" s="249" t="n"/>
      <c r="ACZ9" s="249" t="n"/>
      <c r="ADA9" s="249" t="n"/>
      <c r="ADB9" s="249" t="n"/>
      <c r="ADC9" s="249" t="n"/>
      <c r="ADD9" s="249" t="n"/>
      <c r="ADE9" s="249" t="n"/>
      <c r="ADF9" s="249" t="n"/>
      <c r="ADG9" s="249" t="n"/>
      <c r="ADH9" s="249" t="n"/>
      <c r="ADI9" s="249" t="n"/>
      <c r="ADJ9" s="249" t="n"/>
      <c r="ADK9" s="249" t="n"/>
      <c r="ADL9" s="249" t="n"/>
      <c r="ADM9" s="249" t="n"/>
      <c r="ADN9" s="249" t="n"/>
      <c r="ADO9" s="249" t="n"/>
      <c r="ADP9" s="249" t="n"/>
      <c r="ADQ9" s="249" t="n"/>
      <c r="ADR9" s="249" t="n"/>
      <c r="ADS9" s="249" t="n"/>
      <c r="ADT9" s="249" t="n"/>
      <c r="ADU9" s="249" t="n"/>
      <c r="ADV9" s="249" t="n"/>
      <c r="ADW9" s="249" t="n"/>
      <c r="ADX9" s="249" t="n"/>
      <c r="ADY9" s="249" t="n"/>
      <c r="ADZ9" s="249" t="n"/>
      <c r="AEA9" s="249" t="n"/>
      <c r="AEB9" s="249" t="n"/>
      <c r="AEC9" s="249" t="n"/>
      <c r="AED9" s="249" t="n"/>
      <c r="AEE9" s="249" t="n"/>
      <c r="AEF9" s="249" t="n"/>
      <c r="AEG9" s="249" t="n"/>
      <c r="AEH9" s="249" t="n"/>
      <c r="AEI9" s="249" t="n"/>
      <c r="AEJ9" s="249" t="n"/>
      <c r="AEK9" s="249" t="n"/>
      <c r="AEL9" s="249" t="n"/>
      <c r="AEM9" s="249" t="n"/>
      <c r="AEN9" s="249" t="n"/>
      <c r="AEO9" s="249" t="n"/>
      <c r="AEP9" s="249" t="n"/>
      <c r="AEQ9" s="249" t="n"/>
      <c r="AER9" s="249" t="n"/>
      <c r="AES9" s="249" t="n"/>
      <c r="AET9" s="249" t="n"/>
      <c r="AEU9" s="249" t="n"/>
      <c r="AEV9" s="249" t="n"/>
      <c r="AEW9" s="249" t="n"/>
      <c r="AEX9" s="249" t="n"/>
      <c r="AEY9" s="249" t="n"/>
      <c r="AEZ9" s="249" t="n"/>
      <c r="AFA9" s="249" t="n"/>
      <c r="AFB9" s="249" t="n"/>
      <c r="AFC9" s="249" t="n"/>
      <c r="AFD9" s="249" t="n"/>
      <c r="AFE9" s="249" t="n"/>
      <c r="AFF9" s="249" t="n"/>
      <c r="AFG9" s="249" t="n"/>
      <c r="AFH9" s="249" t="n"/>
      <c r="AFI9" s="249" t="n"/>
      <c r="AFJ9" s="249" t="n"/>
      <c r="AFK9" s="249" t="n"/>
      <c r="AFL9" s="249" t="n"/>
      <c r="AFM9" s="249" t="n"/>
      <c r="AFN9" s="249" t="n"/>
      <c r="AFO9" s="249" t="n"/>
      <c r="AFP9" s="249" t="n"/>
      <c r="AFQ9" s="249" t="n"/>
      <c r="AFR9" s="249" t="n"/>
      <c r="AFS9" s="249" t="n"/>
      <c r="AFT9" s="249" t="n"/>
      <c r="AFU9" s="249" t="n"/>
      <c r="AFV9" s="249" t="n"/>
      <c r="AFW9" s="249" t="n"/>
      <c r="AFX9" s="249" t="n"/>
      <c r="AFY9" s="249" t="n"/>
      <c r="AFZ9" s="249" t="n"/>
      <c r="AGA9" s="249" t="n"/>
      <c r="AGB9" s="249" t="n"/>
      <c r="AGC9" s="249" t="n"/>
      <c r="AGD9" s="249" t="n"/>
      <c r="AGE9" s="249" t="n"/>
      <c r="AGF9" s="249" t="n"/>
      <c r="AGG9" s="249" t="n"/>
      <c r="AGH9" s="249" t="n"/>
      <c r="AGI9" s="249" t="n"/>
      <c r="AGJ9" s="249" t="n"/>
      <c r="AGK9" s="249" t="n"/>
      <c r="AGL9" s="249" t="n"/>
      <c r="AGM9" s="249" t="n"/>
      <c r="AGN9" s="249" t="n"/>
      <c r="AGO9" s="249" t="n"/>
      <c r="AGP9" s="249" t="n"/>
      <c r="AGQ9" s="249" t="n"/>
      <c r="AGR9" s="249" t="n"/>
      <c r="AGS9" s="249" t="n"/>
      <c r="AGT9" s="249" t="n"/>
      <c r="AGU9" s="249" t="n"/>
      <c r="AGV9" s="249" t="n"/>
      <c r="AGW9" s="249" t="n"/>
      <c r="AGX9" s="249" t="n"/>
      <c r="AGY9" s="249" t="n"/>
      <c r="AGZ9" s="249" t="n"/>
      <c r="AHA9" s="249" t="n"/>
      <c r="AHB9" s="249" t="n"/>
      <c r="AHC9" s="249" t="n"/>
      <c r="AHD9" s="249" t="n"/>
      <c r="AHE9" s="249" t="n"/>
      <c r="AHF9" s="249" t="n"/>
      <c r="AHG9" s="249" t="n"/>
      <c r="AHH9" s="249" t="n"/>
      <c r="AHI9" s="249" t="n"/>
      <c r="AHJ9" s="249" t="n"/>
      <c r="AHK9" s="249" t="n"/>
      <c r="AHL9" s="249" t="n"/>
      <c r="AHM9" s="249" t="n"/>
      <c r="AHN9" s="249" t="n"/>
      <c r="AHO9" s="249" t="n"/>
      <c r="AHP9" s="249" t="n"/>
      <c r="AHQ9" s="249" t="n"/>
      <c r="AHR9" s="249" t="n"/>
      <c r="AHS9" s="249" t="n"/>
      <c r="AHT9" s="249" t="n"/>
      <c r="AHU9" s="249" t="n"/>
      <c r="AHV9" s="249" t="n"/>
      <c r="AHW9" s="249" t="n"/>
      <c r="AHX9" s="249" t="n"/>
      <c r="AHY9" s="249" t="n"/>
      <c r="AHZ9" s="249" t="n"/>
      <c r="AIA9" s="249" t="n"/>
      <c r="AIB9" s="249" t="n"/>
      <c r="AIC9" s="249" t="n"/>
      <c r="AID9" s="249" t="n"/>
      <c r="AIE9" s="249" t="n"/>
      <c r="AIF9" s="249" t="n"/>
      <c r="AIG9" s="249" t="n"/>
      <c r="AIH9" s="249" t="n"/>
      <c r="AII9" s="249" t="n"/>
      <c r="AIJ9" s="249" t="n"/>
      <c r="AIK9" s="249" t="n"/>
      <c r="AIL9" s="249" t="n"/>
      <c r="AIM9" s="249" t="n"/>
      <c r="AIN9" s="249" t="n"/>
      <c r="AIO9" s="249" t="n"/>
      <c r="AIP9" s="249" t="n"/>
      <c r="AIQ9" s="249" t="n"/>
      <c r="AIR9" s="249" t="n"/>
      <c r="AIS9" s="249" t="n"/>
      <c r="AIT9" s="249" t="n"/>
      <c r="AIU9" s="249" t="n"/>
      <c r="AIV9" s="249" t="n"/>
      <c r="AIW9" s="249" t="n"/>
      <c r="AIX9" s="249" t="n"/>
      <c r="AIY9" s="249" t="n"/>
      <c r="AIZ9" s="249" t="n"/>
      <c r="AJA9" s="249" t="n"/>
      <c r="AJB9" s="249" t="n"/>
      <c r="AJC9" s="249" t="n"/>
      <c r="AJD9" s="249" t="n"/>
      <c r="AJE9" s="249" t="n"/>
      <c r="AJF9" s="249" t="n"/>
      <c r="AJG9" s="249" t="n"/>
      <c r="AJH9" s="249" t="n"/>
      <c r="AJI9" s="249" t="n"/>
      <c r="AJJ9" s="249" t="n"/>
      <c r="AJK9" s="249" t="n"/>
      <c r="AJL9" s="249" t="n"/>
      <c r="AJM9" s="249" t="n"/>
      <c r="AJN9" s="249" t="n"/>
      <c r="AJO9" s="249" t="n"/>
      <c r="AJP9" s="249" t="n"/>
      <c r="AJQ9" s="249" t="n"/>
      <c r="AJR9" s="249" t="n"/>
      <c r="AJS9" s="249" t="n"/>
      <c r="AJT9" s="249" t="n"/>
      <c r="AJU9" s="249" t="n"/>
      <c r="AJV9" s="249" t="n"/>
      <c r="AJW9" s="249" t="n"/>
      <c r="AJX9" s="249" t="n"/>
      <c r="AJY9" s="249" t="n"/>
      <c r="AJZ9" s="249" t="n"/>
      <c r="AKA9" s="249" t="n"/>
      <c r="AKB9" s="249" t="n"/>
      <c r="AKC9" s="249" t="n"/>
      <c r="AKD9" s="249" t="n"/>
      <c r="AKE9" s="249" t="n"/>
      <c r="AKF9" s="249" t="n"/>
      <c r="AKG9" s="249" t="n"/>
      <c r="AKH9" s="249" t="n"/>
      <c r="AKI9" s="249" t="n"/>
      <c r="AKJ9" s="249" t="n"/>
      <c r="AKK9" s="249" t="n"/>
      <c r="AKL9" s="249" t="n"/>
      <c r="AKM9" s="249" t="n"/>
      <c r="AKN9" s="249" t="n"/>
      <c r="AKO9" s="249" t="n"/>
      <c r="AKP9" s="249" t="n"/>
      <c r="AKQ9" s="249" t="n"/>
      <c r="AKR9" s="249" t="n"/>
      <c r="AKS9" s="249" t="n"/>
      <c r="AKT9" s="249" t="n"/>
      <c r="AKU9" s="249" t="n"/>
      <c r="AKV9" s="249" t="n"/>
      <c r="AKW9" s="249" t="n"/>
      <c r="AKX9" s="249" t="n"/>
      <c r="AKY9" s="249" t="n"/>
      <c r="AKZ9" s="249" t="n"/>
      <c r="ALA9" s="249" t="n"/>
      <c r="ALB9" s="249" t="n"/>
      <c r="ALC9" s="249" t="n"/>
      <c r="ALD9" s="249" t="n"/>
      <c r="ALE9" s="249" t="n"/>
      <c r="ALF9" s="249" t="n"/>
      <c r="ALG9" s="249" t="n"/>
      <c r="ALH9" s="249" t="n"/>
      <c r="ALI9" s="249" t="n"/>
      <c r="ALJ9" s="249" t="n"/>
      <c r="ALK9" s="249" t="n"/>
      <c r="ALL9" s="249" t="n"/>
      <c r="ALM9" s="249" t="n"/>
      <c r="ALN9" s="249" t="n"/>
      <c r="ALO9" s="249" t="n"/>
      <c r="ALP9" s="249" t="n"/>
      <c r="ALQ9" s="249" t="n"/>
      <c r="ALR9" s="249" t="n"/>
      <c r="ALS9" s="249" t="n"/>
      <c r="ALT9" s="249" t="n"/>
      <c r="ALU9" s="249" t="n"/>
      <c r="ALV9" s="249" t="n"/>
      <c r="ALW9" s="249" t="n"/>
      <c r="ALX9" s="249" t="n"/>
      <c r="ALY9" s="249" t="n"/>
      <c r="ALZ9" s="249" t="n"/>
      <c r="AMA9" s="249" t="n"/>
      <c r="AMB9" s="249" t="n"/>
      <c r="AMC9" s="249" t="n"/>
      <c r="AMD9" s="249" t="n"/>
    </row>
    <row r="10" ht="20.25" customFormat="1" customHeight="1" s="256">
      <c r="A10" s="252" t="n"/>
      <c r="B10" s="253" t="n"/>
      <c r="C10" s="253" t="n"/>
      <c r="D10" s="254" t="inlineStr">
        <is>
          <t>(a)</t>
        </is>
      </c>
      <c r="E10" s="254" t="inlineStr">
        <is>
          <t>(b)</t>
        </is>
      </c>
      <c r="F10" s="255" t="inlineStr">
        <is>
          <t>(c)</t>
        </is>
      </c>
      <c r="G10" s="254" t="inlineStr">
        <is>
          <t>(d)</t>
        </is>
      </c>
      <c r="H10" s="254" t="inlineStr">
        <is>
          <t>(e)</t>
        </is>
      </c>
      <c r="I10" s="254" t="inlineStr">
        <is>
          <t>(f) = a + d + e</t>
        </is>
      </c>
    </row>
    <row r="11" ht="20.25" customHeight="1" s="885">
      <c r="A11" s="257" t="n"/>
      <c r="B11" s="258" t="inlineStr">
        <is>
          <t>Expositions au bilan soumises au risque de crédit</t>
        </is>
      </c>
      <c r="D11" s="259" t="n"/>
      <c r="E11" s="259" t="n"/>
      <c r="F11" s="260" t="n"/>
      <c r="G11" s="259" t="n"/>
      <c r="H11" s="259" t="n"/>
      <c r="I11" s="261" t="n"/>
    </row>
    <row r="12" ht="37.5" customHeight="1" s="885">
      <c r="A12" s="237" t="inlineStr">
        <is>
          <t>RC001</t>
        </is>
      </c>
      <c r="B12" s="749" t="n"/>
      <c r="C12" s="895" t="n"/>
      <c r="D12" s="262" t="n"/>
      <c r="E12" s="262" t="n"/>
      <c r="F12" s="262" t="n"/>
      <c r="G12" s="262" t="n"/>
      <c r="H12" s="262" t="n"/>
      <c r="I12" s="263">
        <f>D12-G12-H12</f>
        <v/>
      </c>
    </row>
    <row r="13" ht="37.5" customHeight="1" s="885">
      <c r="A13" s="237" t="inlineStr">
        <is>
          <t>RC002</t>
        </is>
      </c>
      <c r="B13" s="749" t="n"/>
      <c r="C13" s="895" t="n"/>
      <c r="D13" s="262" t="n"/>
      <c r="E13" s="262" t="n"/>
      <c r="F13" s="262" t="n"/>
      <c r="G13" s="262" t="n"/>
      <c r="H13" s="262" t="n"/>
      <c r="I13" s="263">
        <f>D13-G13-H13</f>
        <v/>
      </c>
    </row>
    <row r="14" ht="37.5" customHeight="1" s="885">
      <c r="A14" s="237" t="inlineStr">
        <is>
          <t>RC003</t>
        </is>
      </c>
      <c r="B14" s="749" t="n"/>
      <c r="C14" s="895" t="n"/>
      <c r="D14" s="262" t="n"/>
      <c r="E14" s="262" t="n"/>
      <c r="F14" s="262" t="n"/>
      <c r="G14" s="262" t="n"/>
      <c r="H14" s="262" t="n"/>
      <c r="I14" s="263">
        <f>D14-G14-H14</f>
        <v/>
      </c>
    </row>
    <row r="15" ht="37.5" customHeight="1" s="885">
      <c r="A15" s="237" t="inlineStr">
        <is>
          <t>RC004</t>
        </is>
      </c>
      <c r="B15" s="749" t="n"/>
      <c r="C15" s="895" t="n"/>
      <c r="D15" s="262" t="n"/>
      <c r="E15" s="262" t="n"/>
      <c r="F15" s="262" t="n"/>
      <c r="G15" s="262" t="n"/>
      <c r="H15" s="262" t="n"/>
      <c r="I15" s="263">
        <f>D15-G15-H15</f>
        <v/>
      </c>
    </row>
    <row r="16" ht="37.5" customHeight="1" s="885">
      <c r="A16" s="237" t="inlineStr">
        <is>
          <t>RC005</t>
        </is>
      </c>
      <c r="B16" s="749" t="inlineStr">
        <is>
          <t>Expositions sur les entreprises; dont :</t>
        </is>
      </c>
      <c r="C16" s="895" t="n"/>
      <c r="D16" s="262">
        <f>D17+D18</f>
        <v/>
      </c>
      <c r="E16" s="262">
        <f>E17+E18</f>
        <v/>
      </c>
      <c r="F16" s="262">
        <f>F17+F18</f>
        <v/>
      </c>
      <c r="G16" s="262">
        <f>G17+G18</f>
        <v/>
      </c>
      <c r="H16" s="262">
        <f>H17+H18</f>
        <v/>
      </c>
      <c r="I16" s="263">
        <f>D16-G16-H16</f>
        <v/>
      </c>
    </row>
    <row r="17" ht="37.5" customHeight="1" s="885">
      <c r="A17" s="237" t="inlineStr">
        <is>
          <t>RC006</t>
        </is>
      </c>
      <c r="B17" s="749" t="n"/>
      <c r="C17" s="895" t="n"/>
      <c r="D17" s="262" t="n"/>
      <c r="E17" s="262" t="n"/>
      <c r="F17" s="262" t="n"/>
      <c r="G17" s="262" t="n"/>
      <c r="H17" s="262" t="n"/>
      <c r="I17" s="263">
        <f>D17-G17-H17</f>
        <v/>
      </c>
    </row>
    <row r="18" ht="37.5" customHeight="1" s="885">
      <c r="A18" s="237" t="inlineStr">
        <is>
          <t>RC007</t>
        </is>
      </c>
      <c r="B18" s="749" t="n"/>
      <c r="C18" s="895" t="n"/>
      <c r="D18" s="691">
        <f>-203717+173</f>
        <v/>
      </c>
      <c r="E18" s="691" t="n"/>
      <c r="F18" s="262" t="n"/>
      <c r="G18" s="691" t="n"/>
      <c r="H18" s="262" t="n"/>
      <c r="I18" s="263">
        <f>D18-G18-H18</f>
        <v/>
      </c>
    </row>
    <row r="19" ht="37.5" customHeight="1" s="885">
      <c r="A19" s="237" t="inlineStr">
        <is>
          <t>RC008</t>
        </is>
      </c>
      <c r="B19" s="749" t="inlineStr">
        <is>
          <t>Expositions sur la clientèle de détail; dont :</t>
        </is>
      </c>
      <c r="C19" s="895" t="n"/>
      <c r="D19" s="691">
        <f>D20+D21</f>
        <v/>
      </c>
      <c r="E19" s="691">
        <f>E20+E21</f>
        <v/>
      </c>
      <c r="F19" s="262">
        <f>F20+F21</f>
        <v/>
      </c>
      <c r="G19" s="691">
        <f>G20+G21</f>
        <v/>
      </c>
      <c r="H19" s="262">
        <f>H20+H21</f>
        <v/>
      </c>
      <c r="I19" s="263">
        <f>D19-G19-H19</f>
        <v/>
      </c>
    </row>
    <row r="20" ht="37.5" customHeight="1" s="885">
      <c r="A20" s="237" t="inlineStr">
        <is>
          <t>RC009</t>
        </is>
      </c>
      <c r="B20" s="749" t="n"/>
      <c r="C20" s="895" t="n"/>
      <c r="D20" s="262" t="n"/>
      <c r="E20" s="262" t="n"/>
      <c r="F20" s="262" t="n"/>
      <c r="G20" s="262" t="n"/>
      <c r="H20" s="262" t="n"/>
      <c r="I20" s="263">
        <f>D20-G20-H20</f>
        <v/>
      </c>
    </row>
    <row r="21" ht="37.5" customHeight="1" s="885">
      <c r="A21" s="237" t="inlineStr">
        <is>
          <t>RC010</t>
        </is>
      </c>
      <c r="B21" s="749" t="n"/>
      <c r="C21" s="895" t="n"/>
      <c r="D21" s="262">
        <f>-19462+960</f>
        <v/>
      </c>
      <c r="E21" s="262" t="n"/>
      <c r="F21" s="262">
        <f>F22+F23</f>
        <v/>
      </c>
      <c r="G21" s="262" t="n"/>
      <c r="H21" s="262" t="n"/>
      <c r="I21" s="263">
        <f>D21-G21-H21</f>
        <v/>
      </c>
    </row>
    <row r="22" ht="37.5" customHeight="1" s="885">
      <c r="A22" s="237" t="inlineStr">
        <is>
          <t>RC011</t>
        </is>
      </c>
      <c r="B22" s="749" t="n"/>
      <c r="C22" s="895" t="n"/>
      <c r="D22" s="691">
        <f>-1737-1133</f>
        <v/>
      </c>
      <c r="E22" s="262" t="n"/>
      <c r="F22" s="262" t="n"/>
      <c r="G22" s="262" t="n"/>
      <c r="H22" s="262" t="n"/>
      <c r="I22" s="263">
        <f>D22-G22-H22</f>
        <v/>
      </c>
    </row>
    <row r="23" ht="37.5" customHeight="1" s="885">
      <c r="A23" s="237" t="inlineStr">
        <is>
          <t>RC012</t>
        </is>
      </c>
      <c r="B23" s="749" t="inlineStr">
        <is>
          <t>Expositions sur les prêts garantis par l'immobilier commercial; dont :</t>
        </is>
      </c>
      <c r="C23" s="895" t="n"/>
      <c r="D23" s="262">
        <f>D24+D25</f>
        <v/>
      </c>
      <c r="E23" s="262">
        <f>E24+E25</f>
        <v/>
      </c>
      <c r="F23" s="262">
        <f>F24+F25</f>
        <v/>
      </c>
      <c r="G23" s="262">
        <f>G24+G25</f>
        <v/>
      </c>
      <c r="H23" s="262">
        <f>H24+H25</f>
        <v/>
      </c>
      <c r="I23" s="263">
        <f>D23-G23-H23</f>
        <v/>
      </c>
    </row>
    <row r="24" ht="37.5" customHeight="1" s="885">
      <c r="A24" s="237" t="inlineStr">
        <is>
          <t>RC013</t>
        </is>
      </c>
      <c r="B24" s="749" t="n"/>
      <c r="C24" s="895" t="n"/>
      <c r="D24" s="262" t="n"/>
      <c r="E24" s="262" t="n"/>
      <c r="F24" s="262" t="n"/>
      <c r="G24" s="262" t="n"/>
      <c r="H24" s="262" t="n"/>
      <c r="I24" s="263">
        <f>D24-G24-H24</f>
        <v/>
      </c>
    </row>
    <row r="25" ht="37.5" customHeight="1" s="885">
      <c r="A25" s="237" t="inlineStr">
        <is>
          <t>RC014</t>
        </is>
      </c>
      <c r="B25" s="749" t="n"/>
      <c r="C25" s="895" t="n"/>
      <c r="D25" s="691" t="n"/>
      <c r="E25" s="691" t="n"/>
      <c r="F25" s="262" t="n"/>
      <c r="G25" s="262" t="n"/>
      <c r="H25" s="262" t="n"/>
      <c r="I25" s="263">
        <f>D25-G25-H25</f>
        <v/>
      </c>
    </row>
    <row r="26" ht="37.5" customHeight="1" s="885">
      <c r="A26" s="237" t="inlineStr">
        <is>
          <t>RC015</t>
        </is>
      </c>
      <c r="B26" s="749" t="n"/>
      <c r="C26" s="895" t="n"/>
      <c r="D26" s="691" t="n"/>
      <c r="E26" s="262" t="n"/>
      <c r="F26" s="262" t="n"/>
      <c r="G26" s="262" t="n"/>
      <c r="H26" s="262" t="n"/>
      <c r="I26" s="263">
        <f>D26-G26-H26</f>
        <v/>
      </c>
    </row>
    <row r="27" ht="12.75" customHeight="1" s="885">
      <c r="A27" s="257" t="n"/>
      <c r="B27" s="750" t="n"/>
      <c r="C27" s="894" t="n"/>
      <c r="D27" s="894" t="n"/>
      <c r="E27" s="894" t="n"/>
      <c r="F27" s="894" t="n"/>
      <c r="G27" s="894" t="n"/>
      <c r="H27" s="894" t="n"/>
      <c r="I27" s="895" t="n"/>
    </row>
    <row r="28" ht="37.5" customFormat="1" customHeight="1" s="256">
      <c r="A28" s="237" t="inlineStr">
        <is>
          <t>RC016</t>
        </is>
      </c>
      <c r="B28" s="751" t="n"/>
      <c r="C28" s="895" t="n"/>
      <c r="D28" s="264">
        <f>D12+D13+D14+D15+D16+D19+D22+D23+D26</f>
        <v/>
      </c>
      <c r="E28" s="264">
        <f>E12+E13+E14+E15+E16+E19+E22+E23+E26</f>
        <v/>
      </c>
      <c r="F28" s="264">
        <f>F12+F13+F14+F15+F16+F19+F22+F23+F26</f>
        <v/>
      </c>
      <c r="G28" s="264">
        <f>G12+G13+G14+G15+G16+G19+G22+G23+G26</f>
        <v/>
      </c>
      <c r="H28" s="264">
        <f>H12+H13+H14+H15+H16+H19+H22+H23+H26</f>
        <v/>
      </c>
      <c r="I28" s="265">
        <f>I12+I13+I14+I15+I16+I19+I22+I23+I26</f>
        <v/>
      </c>
    </row>
    <row r="29" ht="10.5" customHeight="1" s="885">
      <c r="A29" s="256" t="n"/>
      <c r="B29" s="249" t="n"/>
      <c r="C29" s="249" t="n"/>
      <c r="D29" s="753" t="n"/>
      <c r="E29" s="753" t="n"/>
      <c r="F29" s="753" t="n"/>
      <c r="G29" s="753" t="n"/>
      <c r="H29" s="753" t="n"/>
      <c r="I29" s="753" t="n"/>
      <c r="J29" s="256" t="n"/>
      <c r="K29" s="256" t="n"/>
      <c r="L29" s="256" t="n"/>
      <c r="M29" s="256" t="n"/>
      <c r="N29" s="256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I29" s="256" t="n"/>
      <c r="AJ29" s="256" t="n"/>
      <c r="AK29" s="256" t="n"/>
      <c r="AL29" s="256" t="n"/>
      <c r="AM29" s="256" t="n"/>
      <c r="AN29" s="256" t="n"/>
      <c r="AO29" s="256" t="n"/>
      <c r="AP29" s="256" t="n"/>
      <c r="AQ29" s="256" t="n"/>
      <c r="AR29" s="256" t="n"/>
      <c r="AS29" s="256" t="n"/>
      <c r="AT29" s="256" t="n"/>
      <c r="AU29" s="256" t="n"/>
      <c r="AV29" s="256" t="n"/>
      <c r="AW29" s="256" t="n"/>
      <c r="AX29" s="256" t="n"/>
      <c r="AY29" s="256" t="n"/>
      <c r="AZ29" s="256" t="n"/>
      <c r="BA29" s="256" t="n"/>
      <c r="BB29" s="256" t="n"/>
      <c r="BC29" s="256" t="n"/>
      <c r="BD29" s="256" t="n"/>
      <c r="BE29" s="256" t="n"/>
      <c r="BF29" s="256" t="n"/>
      <c r="BG29" s="256" t="n"/>
      <c r="BH29" s="256" t="n"/>
      <c r="BI29" s="256" t="n"/>
      <c r="BJ29" s="256" t="n"/>
      <c r="BK29" s="256" t="n"/>
      <c r="BL29" s="256" t="n"/>
      <c r="BM29" s="256" t="n"/>
      <c r="BN29" s="256" t="n"/>
      <c r="BO29" s="256" t="n"/>
      <c r="BP29" s="256" t="n"/>
      <c r="BQ29" s="256" t="n"/>
      <c r="BR29" s="256" t="n"/>
      <c r="BS29" s="256" t="n"/>
      <c r="BT29" s="256" t="n"/>
      <c r="BU29" s="256" t="n"/>
      <c r="BV29" s="256" t="n"/>
      <c r="BW29" s="256" t="n"/>
      <c r="BX29" s="256" t="n"/>
      <c r="BY29" s="256" t="n"/>
      <c r="BZ29" s="256" t="n"/>
      <c r="CA29" s="256" t="n"/>
      <c r="CB29" s="256" t="n"/>
      <c r="CC29" s="256" t="n"/>
      <c r="CD29" s="256" t="n"/>
      <c r="CE29" s="256" t="n"/>
      <c r="CF29" s="256" t="n"/>
      <c r="CG29" s="256" t="n"/>
      <c r="CH29" s="256" t="n"/>
      <c r="CI29" s="256" t="n"/>
      <c r="CJ29" s="256" t="n"/>
      <c r="CK29" s="256" t="n"/>
      <c r="CL29" s="256" t="n"/>
      <c r="CM29" s="256" t="n"/>
      <c r="CN29" s="256" t="n"/>
      <c r="CO29" s="256" t="n"/>
      <c r="CP29" s="256" t="n"/>
      <c r="CQ29" s="256" t="n"/>
      <c r="CR29" s="256" t="n"/>
      <c r="CS29" s="256" t="n"/>
      <c r="CT29" s="256" t="n"/>
      <c r="CU29" s="256" t="n"/>
      <c r="CV29" s="256" t="n"/>
      <c r="CW29" s="256" t="n"/>
      <c r="CX29" s="256" t="n"/>
      <c r="CY29" s="256" t="n"/>
      <c r="CZ29" s="256" t="n"/>
      <c r="DA29" s="256" t="n"/>
      <c r="DB29" s="256" t="n"/>
      <c r="DC29" s="256" t="n"/>
      <c r="DD29" s="256" t="n"/>
      <c r="DE29" s="256" t="n"/>
      <c r="DF29" s="256" t="n"/>
      <c r="DG29" s="256" t="n"/>
      <c r="DH29" s="256" t="n"/>
      <c r="DI29" s="256" t="n"/>
      <c r="DJ29" s="256" t="n"/>
      <c r="DK29" s="256" t="n"/>
      <c r="DL29" s="256" t="n"/>
      <c r="DM29" s="256" t="n"/>
      <c r="DN29" s="256" t="n"/>
      <c r="DO29" s="256" t="n"/>
      <c r="DP29" s="256" t="n"/>
      <c r="DQ29" s="256" t="n"/>
      <c r="DR29" s="256" t="n"/>
      <c r="DS29" s="256" t="n"/>
      <c r="DT29" s="256" t="n"/>
      <c r="DU29" s="256" t="n"/>
      <c r="DV29" s="256" t="n"/>
      <c r="DW29" s="256" t="n"/>
      <c r="DX29" s="256" t="n"/>
      <c r="DY29" s="256" t="n"/>
      <c r="DZ29" s="256" t="n"/>
      <c r="EA29" s="256" t="n"/>
      <c r="EB29" s="256" t="n"/>
      <c r="EC29" s="256" t="n"/>
      <c r="ED29" s="256" t="n"/>
      <c r="EE29" s="256" t="n"/>
      <c r="EF29" s="256" t="n"/>
      <c r="EG29" s="256" t="n"/>
      <c r="EH29" s="256" t="n"/>
      <c r="EI29" s="256" t="n"/>
      <c r="EJ29" s="256" t="n"/>
      <c r="EK29" s="256" t="n"/>
      <c r="EL29" s="256" t="n"/>
      <c r="EM29" s="256" t="n"/>
      <c r="EN29" s="256" t="n"/>
      <c r="EO29" s="256" t="n"/>
      <c r="EP29" s="256" t="n"/>
      <c r="EQ29" s="256" t="n"/>
      <c r="ER29" s="256" t="n"/>
      <c r="ES29" s="256" t="n"/>
      <c r="ET29" s="256" t="n"/>
      <c r="EU29" s="256" t="n"/>
      <c r="EV29" s="256" t="n"/>
      <c r="EW29" s="256" t="n"/>
      <c r="EX29" s="256" t="n"/>
      <c r="EY29" s="256" t="n"/>
      <c r="EZ29" s="256" t="n"/>
      <c r="FA29" s="256" t="n"/>
      <c r="FB29" s="256" t="n"/>
      <c r="FC29" s="256" t="n"/>
      <c r="FD29" s="256" t="n"/>
      <c r="FE29" s="256" t="n"/>
      <c r="FF29" s="256" t="n"/>
      <c r="FG29" s="256" t="n"/>
      <c r="FH29" s="256" t="n"/>
      <c r="FI29" s="256" t="n"/>
      <c r="FJ29" s="256" t="n"/>
      <c r="FK29" s="256" t="n"/>
      <c r="FL29" s="256" t="n"/>
      <c r="FM29" s="256" t="n"/>
      <c r="FN29" s="256" t="n"/>
      <c r="FO29" s="256" t="n"/>
      <c r="FP29" s="256" t="n"/>
      <c r="FQ29" s="256" t="n"/>
      <c r="FR29" s="256" t="n"/>
      <c r="FS29" s="256" t="n"/>
      <c r="FT29" s="256" t="n"/>
      <c r="FU29" s="256" t="n"/>
      <c r="FV29" s="256" t="n"/>
      <c r="FW29" s="256" t="n"/>
      <c r="FX29" s="256" t="n"/>
      <c r="FY29" s="256" t="n"/>
      <c r="FZ29" s="256" t="n"/>
      <c r="GA29" s="256" t="n"/>
      <c r="GB29" s="256" t="n"/>
      <c r="GC29" s="256" t="n"/>
      <c r="GD29" s="256" t="n"/>
      <c r="GE29" s="256" t="n"/>
      <c r="GF29" s="256" t="n"/>
      <c r="GG29" s="256" t="n"/>
      <c r="GH29" s="256" t="n"/>
      <c r="GI29" s="256" t="n"/>
      <c r="GJ29" s="256" t="n"/>
      <c r="GK29" s="256" t="n"/>
      <c r="GL29" s="256" t="n"/>
      <c r="GM29" s="256" t="n"/>
      <c r="GN29" s="256" t="n"/>
      <c r="GO29" s="256" t="n"/>
      <c r="GP29" s="256" t="n"/>
      <c r="GQ29" s="256" t="n"/>
      <c r="GR29" s="256" t="n"/>
      <c r="GS29" s="256" t="n"/>
      <c r="GT29" s="256" t="n"/>
      <c r="GU29" s="256" t="n"/>
      <c r="GV29" s="256" t="n"/>
      <c r="GW29" s="256" t="n"/>
      <c r="GX29" s="256" t="n"/>
      <c r="GY29" s="256" t="n"/>
      <c r="GZ29" s="256" t="n"/>
      <c r="HA29" s="256" t="n"/>
      <c r="HB29" s="256" t="n"/>
      <c r="HC29" s="256" t="n"/>
      <c r="HD29" s="256" t="n"/>
      <c r="HE29" s="256" t="n"/>
      <c r="HF29" s="256" t="n"/>
      <c r="HG29" s="256" t="n"/>
      <c r="HH29" s="256" t="n"/>
      <c r="HI29" s="256" t="n"/>
      <c r="HJ29" s="256" t="n"/>
      <c r="HK29" s="256" t="n"/>
      <c r="HL29" s="256" t="n"/>
      <c r="HM29" s="256" t="n"/>
      <c r="HN29" s="256" t="n"/>
      <c r="HO29" s="256" t="n"/>
      <c r="HP29" s="256" t="n"/>
      <c r="HQ29" s="256" t="n"/>
      <c r="HR29" s="256" t="n"/>
      <c r="HS29" s="256" t="n"/>
      <c r="HT29" s="256" t="n"/>
      <c r="HU29" s="256" t="n"/>
      <c r="HV29" s="256" t="n"/>
      <c r="HW29" s="256" t="n"/>
      <c r="HX29" s="256" t="n"/>
      <c r="HY29" s="256" t="n"/>
      <c r="HZ29" s="256" t="n"/>
      <c r="IA29" s="256" t="n"/>
      <c r="IB29" s="256" t="n"/>
      <c r="IC29" s="256" t="n"/>
      <c r="ID29" s="256" t="n"/>
      <c r="IE29" s="256" t="n"/>
      <c r="IF29" s="256" t="n"/>
      <c r="IG29" s="256" t="n"/>
      <c r="IH29" s="256" t="n"/>
      <c r="II29" s="256" t="n"/>
      <c r="IJ29" s="256" t="n"/>
      <c r="IK29" s="256" t="n"/>
      <c r="IL29" s="256" t="n"/>
      <c r="IM29" s="256" t="n"/>
      <c r="IN29" s="256" t="n"/>
      <c r="IO29" s="256" t="n"/>
      <c r="IP29" s="256" t="n"/>
      <c r="IQ29" s="256" t="n"/>
      <c r="IR29" s="256" t="n"/>
      <c r="IS29" s="256" t="n"/>
      <c r="IT29" s="256" t="n"/>
      <c r="IU29" s="256" t="n"/>
      <c r="IV29" s="256" t="n"/>
      <c r="IW29" s="256" t="n"/>
      <c r="IX29" s="256" t="n"/>
      <c r="IY29" s="256" t="n"/>
      <c r="IZ29" s="256" t="n"/>
      <c r="JA29" s="256" t="n"/>
      <c r="JB29" s="256" t="n"/>
      <c r="JC29" s="256" t="n"/>
      <c r="JD29" s="256" t="n"/>
      <c r="JE29" s="256" t="n"/>
      <c r="JF29" s="256" t="n"/>
      <c r="JG29" s="256" t="n"/>
      <c r="JH29" s="256" t="n"/>
      <c r="JI29" s="256" t="n"/>
      <c r="JJ29" s="256" t="n"/>
      <c r="JK29" s="256" t="n"/>
      <c r="JL29" s="256" t="n"/>
      <c r="JM29" s="256" t="n"/>
      <c r="JN29" s="256" t="n"/>
      <c r="JO29" s="256" t="n"/>
      <c r="JP29" s="256" t="n"/>
      <c r="JQ29" s="256" t="n"/>
      <c r="JR29" s="256" t="n"/>
      <c r="JS29" s="256" t="n"/>
      <c r="JT29" s="256" t="n"/>
      <c r="JU29" s="256" t="n"/>
      <c r="JV29" s="256" t="n"/>
      <c r="JW29" s="256" t="n"/>
      <c r="JX29" s="256" t="n"/>
      <c r="JY29" s="256" t="n"/>
      <c r="JZ29" s="256" t="n"/>
      <c r="KA29" s="256" t="n"/>
      <c r="KB29" s="256" t="n"/>
      <c r="KC29" s="256" t="n"/>
      <c r="KD29" s="256" t="n"/>
      <c r="KE29" s="256" t="n"/>
      <c r="KF29" s="256" t="n"/>
      <c r="KG29" s="256" t="n"/>
      <c r="KH29" s="256" t="n"/>
      <c r="KI29" s="256" t="n"/>
      <c r="KJ29" s="256" t="n"/>
      <c r="KK29" s="256" t="n"/>
      <c r="KL29" s="256" t="n"/>
      <c r="KM29" s="256" t="n"/>
      <c r="KN29" s="256" t="n"/>
      <c r="KO29" s="256" t="n"/>
      <c r="KP29" s="256" t="n"/>
      <c r="KQ29" s="256" t="n"/>
      <c r="KR29" s="256" t="n"/>
      <c r="KS29" s="256" t="n"/>
      <c r="KT29" s="256" t="n"/>
      <c r="KU29" s="256" t="n"/>
      <c r="KV29" s="256" t="n"/>
      <c r="KW29" s="256" t="n"/>
      <c r="KX29" s="256" t="n"/>
      <c r="KY29" s="256" t="n"/>
      <c r="KZ29" s="256" t="n"/>
      <c r="LA29" s="256" t="n"/>
      <c r="LB29" s="256" t="n"/>
      <c r="LC29" s="256" t="n"/>
      <c r="LD29" s="256" t="n"/>
      <c r="LE29" s="256" t="n"/>
      <c r="LF29" s="256" t="n"/>
      <c r="LG29" s="256" t="n"/>
      <c r="LH29" s="256" t="n"/>
      <c r="LI29" s="256" t="n"/>
      <c r="LJ29" s="256" t="n"/>
      <c r="LK29" s="256" t="n"/>
      <c r="LL29" s="256" t="n"/>
      <c r="LM29" s="256" t="n"/>
      <c r="LN29" s="256" t="n"/>
      <c r="LO29" s="256" t="n"/>
      <c r="LP29" s="256" t="n"/>
      <c r="LQ29" s="256" t="n"/>
      <c r="LR29" s="256" t="n"/>
      <c r="LS29" s="256" t="n"/>
      <c r="LT29" s="256" t="n"/>
      <c r="LU29" s="256" t="n"/>
      <c r="LV29" s="256" t="n"/>
      <c r="LW29" s="256" t="n"/>
      <c r="LX29" s="256" t="n"/>
      <c r="LY29" s="256" t="n"/>
      <c r="LZ29" s="256" t="n"/>
      <c r="MA29" s="256" t="n"/>
      <c r="MB29" s="256" t="n"/>
      <c r="MC29" s="256" t="n"/>
      <c r="MD29" s="256" t="n"/>
      <c r="ME29" s="256" t="n"/>
      <c r="MF29" s="256" t="n"/>
      <c r="MG29" s="256" t="n"/>
      <c r="MH29" s="256" t="n"/>
      <c r="MI29" s="256" t="n"/>
      <c r="MJ29" s="256" t="n"/>
      <c r="MK29" s="256" t="n"/>
      <c r="ML29" s="256" t="n"/>
      <c r="MM29" s="256" t="n"/>
      <c r="MN29" s="256" t="n"/>
      <c r="MO29" s="256" t="n"/>
      <c r="MP29" s="256" t="n"/>
      <c r="MQ29" s="256" t="n"/>
      <c r="MR29" s="256" t="n"/>
      <c r="MS29" s="256" t="n"/>
      <c r="MT29" s="256" t="n"/>
      <c r="MU29" s="256" t="n"/>
      <c r="MV29" s="256" t="n"/>
      <c r="MW29" s="256" t="n"/>
      <c r="MX29" s="256" t="n"/>
      <c r="MY29" s="256" t="n"/>
      <c r="MZ29" s="256" t="n"/>
      <c r="NA29" s="256" t="n"/>
      <c r="NB29" s="256" t="n"/>
      <c r="NC29" s="256" t="n"/>
      <c r="ND29" s="256" t="n"/>
      <c r="NE29" s="256" t="n"/>
      <c r="NF29" s="256" t="n"/>
      <c r="NG29" s="256" t="n"/>
      <c r="NH29" s="256" t="n"/>
      <c r="NI29" s="256" t="n"/>
      <c r="NJ29" s="256" t="n"/>
      <c r="NK29" s="256" t="n"/>
      <c r="NL29" s="256" t="n"/>
      <c r="NM29" s="256" t="n"/>
      <c r="NN29" s="256" t="n"/>
      <c r="NO29" s="256" t="n"/>
      <c r="NP29" s="256" t="n"/>
      <c r="NQ29" s="256" t="n"/>
      <c r="NR29" s="256" t="n"/>
      <c r="NS29" s="256" t="n"/>
      <c r="NT29" s="256" t="n"/>
      <c r="NU29" s="256" t="n"/>
      <c r="NV29" s="256" t="n"/>
      <c r="NW29" s="256" t="n"/>
      <c r="NX29" s="256" t="n"/>
      <c r="NY29" s="256" t="n"/>
      <c r="NZ29" s="256" t="n"/>
      <c r="OA29" s="256" t="n"/>
      <c r="OB29" s="256" t="n"/>
      <c r="OC29" s="256" t="n"/>
      <c r="OD29" s="256" t="n"/>
      <c r="OE29" s="256" t="n"/>
      <c r="OF29" s="256" t="n"/>
      <c r="OG29" s="256" t="n"/>
      <c r="OH29" s="256" t="n"/>
      <c r="OI29" s="256" t="n"/>
      <c r="OJ29" s="256" t="n"/>
      <c r="OK29" s="256" t="n"/>
      <c r="OL29" s="256" t="n"/>
      <c r="OM29" s="256" t="n"/>
      <c r="ON29" s="256" t="n"/>
      <c r="OO29" s="256" t="n"/>
      <c r="OP29" s="256" t="n"/>
      <c r="OQ29" s="256" t="n"/>
      <c r="OR29" s="256" t="n"/>
      <c r="OS29" s="256" t="n"/>
      <c r="OT29" s="256" t="n"/>
      <c r="OU29" s="256" t="n"/>
      <c r="OV29" s="256" t="n"/>
      <c r="OW29" s="256" t="n"/>
      <c r="OX29" s="256" t="n"/>
      <c r="OY29" s="256" t="n"/>
      <c r="OZ29" s="256" t="n"/>
      <c r="PA29" s="256" t="n"/>
      <c r="PB29" s="256" t="n"/>
      <c r="PC29" s="256" t="n"/>
      <c r="PD29" s="256" t="n"/>
      <c r="PE29" s="256" t="n"/>
      <c r="PF29" s="256" t="n"/>
      <c r="PG29" s="256" t="n"/>
      <c r="PH29" s="256" t="n"/>
      <c r="PI29" s="256" t="n"/>
      <c r="PJ29" s="256" t="n"/>
      <c r="PK29" s="256" t="n"/>
      <c r="PL29" s="256" t="n"/>
      <c r="PM29" s="256" t="n"/>
      <c r="PN29" s="256" t="n"/>
      <c r="PO29" s="256" t="n"/>
      <c r="PP29" s="256" t="n"/>
      <c r="PQ29" s="256" t="n"/>
      <c r="PR29" s="256" t="n"/>
      <c r="PS29" s="256" t="n"/>
      <c r="PT29" s="256" t="n"/>
      <c r="PU29" s="256" t="n"/>
      <c r="PV29" s="256" t="n"/>
      <c r="PW29" s="256" t="n"/>
      <c r="PX29" s="256" t="n"/>
      <c r="PY29" s="256" t="n"/>
      <c r="PZ29" s="256" t="n"/>
      <c r="QA29" s="256" t="n"/>
      <c r="QB29" s="256" t="n"/>
      <c r="QC29" s="256" t="n"/>
      <c r="QD29" s="256" t="n"/>
      <c r="QE29" s="256" t="n"/>
      <c r="QF29" s="256" t="n"/>
      <c r="QG29" s="256" t="n"/>
      <c r="QH29" s="256" t="n"/>
      <c r="QI29" s="256" t="n"/>
      <c r="QJ29" s="256" t="n"/>
      <c r="QK29" s="256" t="n"/>
      <c r="QL29" s="256" t="n"/>
      <c r="QM29" s="256" t="n"/>
      <c r="QN29" s="256" t="n"/>
      <c r="QO29" s="256" t="n"/>
      <c r="QP29" s="256" t="n"/>
      <c r="QQ29" s="256" t="n"/>
      <c r="QR29" s="256" t="n"/>
      <c r="QS29" s="256" t="n"/>
      <c r="QT29" s="256" t="n"/>
      <c r="QU29" s="256" t="n"/>
      <c r="QV29" s="256" t="n"/>
      <c r="QW29" s="256" t="n"/>
      <c r="QX29" s="256" t="n"/>
      <c r="QY29" s="256" t="n"/>
      <c r="QZ29" s="256" t="n"/>
      <c r="RA29" s="256" t="n"/>
      <c r="RB29" s="256" t="n"/>
      <c r="RC29" s="256" t="n"/>
      <c r="RD29" s="256" t="n"/>
      <c r="RE29" s="256" t="n"/>
      <c r="RF29" s="256" t="n"/>
      <c r="RG29" s="256" t="n"/>
      <c r="RH29" s="256" t="n"/>
      <c r="RI29" s="256" t="n"/>
      <c r="RJ29" s="256" t="n"/>
      <c r="RK29" s="256" t="n"/>
      <c r="RL29" s="256" t="n"/>
      <c r="RM29" s="256" t="n"/>
      <c r="RN29" s="256" t="n"/>
      <c r="RO29" s="256" t="n"/>
      <c r="RP29" s="256" t="n"/>
      <c r="RQ29" s="256" t="n"/>
      <c r="RR29" s="256" t="n"/>
      <c r="RS29" s="256" t="n"/>
      <c r="RT29" s="256" t="n"/>
      <c r="RU29" s="256" t="n"/>
      <c r="RV29" s="256" t="n"/>
      <c r="RW29" s="256" t="n"/>
      <c r="RX29" s="256" t="n"/>
      <c r="RY29" s="256" t="n"/>
      <c r="RZ29" s="256" t="n"/>
      <c r="SA29" s="256" t="n"/>
      <c r="SB29" s="256" t="n"/>
      <c r="SC29" s="256" t="n"/>
      <c r="SD29" s="256" t="n"/>
      <c r="SE29" s="256" t="n"/>
      <c r="SF29" s="256" t="n"/>
      <c r="SG29" s="256" t="n"/>
      <c r="SH29" s="256" t="n"/>
      <c r="SI29" s="256" t="n"/>
      <c r="SJ29" s="256" t="n"/>
      <c r="SK29" s="256" t="n"/>
      <c r="SL29" s="256" t="n"/>
      <c r="SM29" s="256" t="n"/>
      <c r="SN29" s="256" t="n"/>
      <c r="SO29" s="256" t="n"/>
      <c r="SP29" s="256" t="n"/>
      <c r="SQ29" s="256" t="n"/>
      <c r="SR29" s="256" t="n"/>
      <c r="SS29" s="256" t="n"/>
      <c r="ST29" s="256" t="n"/>
      <c r="SU29" s="256" t="n"/>
      <c r="SV29" s="256" t="n"/>
      <c r="SW29" s="256" t="n"/>
      <c r="SX29" s="256" t="n"/>
      <c r="SY29" s="256" t="n"/>
      <c r="SZ29" s="256" t="n"/>
      <c r="TA29" s="256" t="n"/>
      <c r="TB29" s="256" t="n"/>
      <c r="TC29" s="256" t="n"/>
      <c r="TD29" s="256" t="n"/>
      <c r="TE29" s="256" t="n"/>
      <c r="TF29" s="256" t="n"/>
      <c r="TG29" s="256" t="n"/>
      <c r="TH29" s="256" t="n"/>
      <c r="TI29" s="256" t="n"/>
      <c r="TJ29" s="256" t="n"/>
      <c r="TK29" s="256" t="n"/>
      <c r="TL29" s="256" t="n"/>
      <c r="TM29" s="256" t="n"/>
      <c r="TN29" s="256" t="n"/>
      <c r="TO29" s="256" t="n"/>
      <c r="TP29" s="256" t="n"/>
      <c r="TQ29" s="256" t="n"/>
      <c r="TR29" s="256" t="n"/>
      <c r="TS29" s="256" t="n"/>
      <c r="TT29" s="256" t="n"/>
      <c r="TU29" s="256" t="n"/>
      <c r="TV29" s="256" t="n"/>
      <c r="TW29" s="256" t="n"/>
      <c r="TX29" s="256" t="n"/>
      <c r="TY29" s="256" t="n"/>
      <c r="TZ29" s="256" t="n"/>
      <c r="UA29" s="256" t="n"/>
      <c r="UB29" s="256" t="n"/>
      <c r="UC29" s="256" t="n"/>
      <c r="UD29" s="256" t="n"/>
      <c r="UE29" s="256" t="n"/>
      <c r="UF29" s="256" t="n"/>
      <c r="UG29" s="256" t="n"/>
      <c r="UH29" s="256" t="n"/>
      <c r="UI29" s="256" t="n"/>
      <c r="UJ29" s="256" t="n"/>
      <c r="UK29" s="256" t="n"/>
      <c r="UL29" s="256" t="n"/>
      <c r="UM29" s="256" t="n"/>
      <c r="UN29" s="256" t="n"/>
      <c r="UO29" s="256" t="n"/>
      <c r="UP29" s="256" t="n"/>
      <c r="UQ29" s="256" t="n"/>
      <c r="UR29" s="256" t="n"/>
      <c r="US29" s="256" t="n"/>
      <c r="UT29" s="256" t="n"/>
      <c r="UU29" s="256" t="n"/>
      <c r="UV29" s="256" t="n"/>
      <c r="UW29" s="256" t="n"/>
      <c r="UX29" s="256" t="n"/>
      <c r="UY29" s="256" t="n"/>
      <c r="UZ29" s="256" t="n"/>
      <c r="VA29" s="256" t="n"/>
      <c r="VB29" s="256" t="n"/>
      <c r="VC29" s="256" t="n"/>
      <c r="VD29" s="256" t="n"/>
      <c r="VE29" s="256" t="n"/>
      <c r="VF29" s="256" t="n"/>
      <c r="VG29" s="256" t="n"/>
      <c r="VH29" s="256" t="n"/>
      <c r="VI29" s="256" t="n"/>
      <c r="VJ29" s="256" t="n"/>
      <c r="VK29" s="256" t="n"/>
      <c r="VL29" s="256" t="n"/>
      <c r="VM29" s="256" t="n"/>
      <c r="VN29" s="256" t="n"/>
      <c r="VO29" s="256" t="n"/>
      <c r="VP29" s="256" t="n"/>
      <c r="VQ29" s="256" t="n"/>
      <c r="VR29" s="256" t="n"/>
      <c r="VS29" s="256" t="n"/>
      <c r="VT29" s="256" t="n"/>
      <c r="VU29" s="256" t="n"/>
      <c r="VV29" s="256" t="n"/>
      <c r="VW29" s="256" t="n"/>
      <c r="VX29" s="256" t="n"/>
      <c r="VY29" s="256" t="n"/>
      <c r="VZ29" s="256" t="n"/>
      <c r="WA29" s="256" t="n"/>
      <c r="WB29" s="256" t="n"/>
      <c r="WC29" s="256" t="n"/>
      <c r="WD29" s="256" t="n"/>
      <c r="WE29" s="256" t="n"/>
      <c r="WF29" s="256" t="n"/>
      <c r="WG29" s="256" t="n"/>
      <c r="WH29" s="256" t="n"/>
      <c r="WI29" s="256" t="n"/>
      <c r="WJ29" s="256" t="n"/>
      <c r="WK29" s="256" t="n"/>
      <c r="WL29" s="256" t="n"/>
      <c r="WM29" s="256" t="n"/>
      <c r="WN29" s="256" t="n"/>
      <c r="WO29" s="256" t="n"/>
      <c r="WP29" s="256" t="n"/>
      <c r="WQ29" s="256" t="n"/>
      <c r="WR29" s="256" t="n"/>
      <c r="WS29" s="256" t="n"/>
      <c r="WT29" s="256" t="n"/>
      <c r="WU29" s="256" t="n"/>
      <c r="WV29" s="256" t="n"/>
      <c r="WW29" s="256" t="n"/>
      <c r="WX29" s="256" t="n"/>
      <c r="WY29" s="256" t="n"/>
      <c r="WZ29" s="256" t="n"/>
      <c r="XA29" s="256" t="n"/>
      <c r="XB29" s="256" t="n"/>
      <c r="XC29" s="256" t="n"/>
      <c r="XD29" s="256" t="n"/>
      <c r="XE29" s="256" t="n"/>
      <c r="XF29" s="256" t="n"/>
      <c r="XG29" s="256" t="n"/>
      <c r="XH29" s="256" t="n"/>
      <c r="XI29" s="256" t="n"/>
      <c r="XJ29" s="256" t="n"/>
      <c r="XK29" s="256" t="n"/>
      <c r="XL29" s="256" t="n"/>
      <c r="XM29" s="256" t="n"/>
      <c r="XN29" s="256" t="n"/>
      <c r="XO29" s="256" t="n"/>
      <c r="XP29" s="256" t="n"/>
      <c r="XQ29" s="256" t="n"/>
      <c r="XR29" s="256" t="n"/>
      <c r="XS29" s="256" t="n"/>
      <c r="XT29" s="256" t="n"/>
      <c r="XU29" s="256" t="n"/>
      <c r="XV29" s="256" t="n"/>
      <c r="XW29" s="256" t="n"/>
      <c r="XX29" s="256" t="n"/>
      <c r="XY29" s="256" t="n"/>
      <c r="XZ29" s="256" t="n"/>
      <c r="YA29" s="256" t="n"/>
      <c r="YB29" s="256" t="n"/>
      <c r="YC29" s="256" t="n"/>
      <c r="YD29" s="256" t="n"/>
      <c r="YE29" s="256" t="n"/>
      <c r="YF29" s="256" t="n"/>
      <c r="YG29" s="256" t="n"/>
      <c r="YH29" s="256" t="n"/>
      <c r="YI29" s="256" t="n"/>
      <c r="YJ29" s="256" t="n"/>
      <c r="YK29" s="256" t="n"/>
      <c r="YL29" s="256" t="n"/>
      <c r="YM29" s="256" t="n"/>
      <c r="YN29" s="256" t="n"/>
      <c r="YO29" s="256" t="n"/>
      <c r="YP29" s="256" t="n"/>
      <c r="YQ29" s="256" t="n"/>
      <c r="YR29" s="256" t="n"/>
      <c r="YS29" s="256" t="n"/>
      <c r="YT29" s="256" t="n"/>
      <c r="YU29" s="256" t="n"/>
      <c r="YV29" s="256" t="n"/>
      <c r="YW29" s="256" t="n"/>
      <c r="YX29" s="256" t="n"/>
      <c r="YY29" s="256" t="n"/>
      <c r="YZ29" s="256" t="n"/>
      <c r="ZA29" s="256" t="n"/>
      <c r="ZB29" s="256" t="n"/>
      <c r="ZC29" s="256" t="n"/>
      <c r="ZD29" s="256" t="n"/>
      <c r="ZE29" s="256" t="n"/>
      <c r="ZF29" s="256" t="n"/>
      <c r="ZG29" s="256" t="n"/>
      <c r="ZH29" s="256" t="n"/>
      <c r="ZI29" s="256" t="n"/>
      <c r="ZJ29" s="256" t="n"/>
      <c r="ZK29" s="256" t="n"/>
      <c r="ZL29" s="256" t="n"/>
      <c r="ZM29" s="256" t="n"/>
      <c r="ZN29" s="256" t="n"/>
      <c r="ZO29" s="256" t="n"/>
      <c r="ZP29" s="256" t="n"/>
      <c r="ZQ29" s="256" t="n"/>
      <c r="ZR29" s="256" t="n"/>
      <c r="ZS29" s="256" t="n"/>
      <c r="ZT29" s="256" t="n"/>
      <c r="ZU29" s="256" t="n"/>
      <c r="ZV29" s="256" t="n"/>
      <c r="ZW29" s="256" t="n"/>
      <c r="ZX29" s="256" t="n"/>
      <c r="ZY29" s="256" t="n"/>
      <c r="ZZ29" s="256" t="n"/>
      <c r="AAA29" s="256" t="n"/>
      <c r="AAB29" s="256" t="n"/>
      <c r="AAC29" s="256" t="n"/>
      <c r="AAD29" s="256" t="n"/>
      <c r="AAE29" s="256" t="n"/>
      <c r="AAF29" s="256" t="n"/>
      <c r="AAG29" s="256" t="n"/>
      <c r="AAH29" s="256" t="n"/>
      <c r="AAI29" s="256" t="n"/>
      <c r="AAJ29" s="256" t="n"/>
      <c r="AAK29" s="256" t="n"/>
      <c r="AAL29" s="256" t="n"/>
      <c r="AAM29" s="256" t="n"/>
      <c r="AAN29" s="256" t="n"/>
      <c r="AAO29" s="256" t="n"/>
      <c r="AAP29" s="256" t="n"/>
      <c r="AAQ29" s="256" t="n"/>
      <c r="AAR29" s="256" t="n"/>
      <c r="AAS29" s="256" t="n"/>
      <c r="AAT29" s="256" t="n"/>
      <c r="AAU29" s="256" t="n"/>
      <c r="AAV29" s="256" t="n"/>
      <c r="AAW29" s="256" t="n"/>
      <c r="AAX29" s="256" t="n"/>
      <c r="AAY29" s="256" t="n"/>
      <c r="AAZ29" s="256" t="n"/>
      <c r="ABA29" s="256" t="n"/>
      <c r="ABB29" s="256" t="n"/>
      <c r="ABC29" s="256" t="n"/>
      <c r="ABD29" s="256" t="n"/>
      <c r="ABE29" s="256" t="n"/>
      <c r="ABF29" s="256" t="n"/>
      <c r="ABG29" s="256" t="n"/>
      <c r="ABH29" s="256" t="n"/>
      <c r="ABI29" s="256" t="n"/>
      <c r="ABJ29" s="256" t="n"/>
      <c r="ABK29" s="256" t="n"/>
      <c r="ABL29" s="256" t="n"/>
      <c r="ABM29" s="256" t="n"/>
      <c r="ABN29" s="256" t="n"/>
      <c r="ABO29" s="256" t="n"/>
      <c r="ABP29" s="256" t="n"/>
      <c r="ABQ29" s="256" t="n"/>
      <c r="ABR29" s="256" t="n"/>
      <c r="ABS29" s="256" t="n"/>
      <c r="ABT29" s="256" t="n"/>
      <c r="ABU29" s="256" t="n"/>
      <c r="ABV29" s="256" t="n"/>
      <c r="ABW29" s="256" t="n"/>
      <c r="ABX29" s="256" t="n"/>
      <c r="ABY29" s="256" t="n"/>
      <c r="ABZ29" s="256" t="n"/>
      <c r="ACA29" s="256" t="n"/>
      <c r="ACB29" s="256" t="n"/>
      <c r="ACC29" s="256" t="n"/>
      <c r="ACD29" s="256" t="n"/>
      <c r="ACE29" s="256" t="n"/>
      <c r="ACF29" s="256" t="n"/>
      <c r="ACG29" s="256" t="n"/>
      <c r="ACH29" s="256" t="n"/>
      <c r="ACI29" s="256" t="n"/>
      <c r="ACJ29" s="256" t="n"/>
      <c r="ACK29" s="256" t="n"/>
      <c r="ACL29" s="256" t="n"/>
      <c r="ACM29" s="256" t="n"/>
      <c r="ACN29" s="256" t="n"/>
      <c r="ACO29" s="256" t="n"/>
      <c r="ACP29" s="256" t="n"/>
      <c r="ACQ29" s="256" t="n"/>
      <c r="ACR29" s="256" t="n"/>
      <c r="ACS29" s="256" t="n"/>
      <c r="ACT29" s="256" t="n"/>
      <c r="ACU29" s="256" t="n"/>
      <c r="ACV29" s="256" t="n"/>
      <c r="ACW29" s="256" t="n"/>
      <c r="ACX29" s="256" t="n"/>
      <c r="ACY29" s="256" t="n"/>
      <c r="ACZ29" s="256" t="n"/>
      <c r="ADA29" s="256" t="n"/>
      <c r="ADB29" s="256" t="n"/>
      <c r="ADC29" s="256" t="n"/>
      <c r="ADD29" s="256" t="n"/>
      <c r="ADE29" s="256" t="n"/>
      <c r="ADF29" s="256" t="n"/>
      <c r="ADG29" s="256" t="n"/>
      <c r="ADH29" s="256" t="n"/>
      <c r="ADI29" s="256" t="n"/>
      <c r="ADJ29" s="256" t="n"/>
      <c r="ADK29" s="256" t="n"/>
      <c r="ADL29" s="256" t="n"/>
      <c r="ADM29" s="256" t="n"/>
      <c r="ADN29" s="256" t="n"/>
      <c r="ADO29" s="256" t="n"/>
      <c r="ADP29" s="256" t="n"/>
      <c r="ADQ29" s="256" t="n"/>
      <c r="ADR29" s="256" t="n"/>
      <c r="ADS29" s="256" t="n"/>
      <c r="ADT29" s="256" t="n"/>
      <c r="ADU29" s="256" t="n"/>
      <c r="ADV29" s="256" t="n"/>
      <c r="ADW29" s="256" t="n"/>
      <c r="ADX29" s="256" t="n"/>
      <c r="ADY29" s="256" t="n"/>
      <c r="ADZ29" s="256" t="n"/>
      <c r="AEA29" s="256" t="n"/>
      <c r="AEB29" s="256" t="n"/>
      <c r="AEC29" s="256" t="n"/>
      <c r="AED29" s="256" t="n"/>
      <c r="AEE29" s="256" t="n"/>
      <c r="AEF29" s="256" t="n"/>
      <c r="AEG29" s="256" t="n"/>
      <c r="AEH29" s="256" t="n"/>
      <c r="AEI29" s="256" t="n"/>
      <c r="AEJ29" s="256" t="n"/>
      <c r="AEK29" s="256" t="n"/>
      <c r="AEL29" s="256" t="n"/>
      <c r="AEM29" s="256" t="n"/>
      <c r="AEN29" s="256" t="n"/>
      <c r="AEO29" s="256" t="n"/>
      <c r="AEP29" s="256" t="n"/>
      <c r="AEQ29" s="256" t="n"/>
      <c r="AER29" s="256" t="n"/>
      <c r="AES29" s="256" t="n"/>
      <c r="AET29" s="256" t="n"/>
      <c r="AEU29" s="256" t="n"/>
      <c r="AEV29" s="256" t="n"/>
      <c r="AEW29" s="256" t="n"/>
      <c r="AEX29" s="256" t="n"/>
      <c r="AEY29" s="256" t="n"/>
      <c r="AEZ29" s="256" t="n"/>
      <c r="AFA29" s="256" t="n"/>
      <c r="AFB29" s="256" t="n"/>
      <c r="AFC29" s="256" t="n"/>
      <c r="AFD29" s="256" t="n"/>
      <c r="AFE29" s="256" t="n"/>
      <c r="AFF29" s="256" t="n"/>
      <c r="AFG29" s="256" t="n"/>
      <c r="AFH29" s="256" t="n"/>
      <c r="AFI29" s="256" t="n"/>
      <c r="AFJ29" s="256" t="n"/>
      <c r="AFK29" s="256" t="n"/>
      <c r="AFL29" s="256" t="n"/>
      <c r="AFM29" s="256" t="n"/>
      <c r="AFN29" s="256" t="n"/>
      <c r="AFO29" s="256" t="n"/>
      <c r="AFP29" s="256" t="n"/>
      <c r="AFQ29" s="256" t="n"/>
      <c r="AFR29" s="256" t="n"/>
      <c r="AFS29" s="256" t="n"/>
      <c r="AFT29" s="256" t="n"/>
      <c r="AFU29" s="256" t="n"/>
      <c r="AFV29" s="256" t="n"/>
      <c r="AFW29" s="256" t="n"/>
      <c r="AFX29" s="256" t="n"/>
      <c r="AFY29" s="256" t="n"/>
      <c r="AFZ29" s="256" t="n"/>
      <c r="AGA29" s="256" t="n"/>
      <c r="AGB29" s="256" t="n"/>
      <c r="AGC29" s="256" t="n"/>
      <c r="AGD29" s="256" t="n"/>
      <c r="AGE29" s="256" t="n"/>
      <c r="AGF29" s="256" t="n"/>
      <c r="AGG29" s="256" t="n"/>
      <c r="AGH29" s="256" t="n"/>
      <c r="AGI29" s="256" t="n"/>
      <c r="AGJ29" s="256" t="n"/>
      <c r="AGK29" s="256" t="n"/>
      <c r="AGL29" s="256" t="n"/>
      <c r="AGM29" s="256" t="n"/>
      <c r="AGN29" s="256" t="n"/>
      <c r="AGO29" s="256" t="n"/>
      <c r="AGP29" s="256" t="n"/>
      <c r="AGQ29" s="256" t="n"/>
      <c r="AGR29" s="256" t="n"/>
      <c r="AGS29" s="256" t="n"/>
      <c r="AGT29" s="256" t="n"/>
      <c r="AGU29" s="256" t="n"/>
      <c r="AGV29" s="256" t="n"/>
      <c r="AGW29" s="256" t="n"/>
      <c r="AGX29" s="256" t="n"/>
      <c r="AGY29" s="256" t="n"/>
      <c r="AGZ29" s="256" t="n"/>
      <c r="AHA29" s="256" t="n"/>
      <c r="AHB29" s="256" t="n"/>
      <c r="AHC29" s="256" t="n"/>
      <c r="AHD29" s="256" t="n"/>
      <c r="AHE29" s="256" t="n"/>
      <c r="AHF29" s="256" t="n"/>
      <c r="AHG29" s="256" t="n"/>
      <c r="AHH29" s="256" t="n"/>
      <c r="AHI29" s="256" t="n"/>
      <c r="AHJ29" s="256" t="n"/>
      <c r="AHK29" s="256" t="n"/>
      <c r="AHL29" s="256" t="n"/>
      <c r="AHM29" s="256" t="n"/>
      <c r="AHN29" s="256" t="n"/>
      <c r="AHO29" s="256" t="n"/>
      <c r="AHP29" s="256" t="n"/>
      <c r="AHQ29" s="256" t="n"/>
      <c r="AHR29" s="256" t="n"/>
      <c r="AHS29" s="256" t="n"/>
      <c r="AHT29" s="256" t="n"/>
      <c r="AHU29" s="256" t="n"/>
      <c r="AHV29" s="256" t="n"/>
      <c r="AHW29" s="256" t="n"/>
      <c r="AHX29" s="256" t="n"/>
      <c r="AHY29" s="256" t="n"/>
      <c r="AHZ29" s="256" t="n"/>
      <c r="AIA29" s="256" t="n"/>
      <c r="AIB29" s="256" t="n"/>
      <c r="AIC29" s="256" t="n"/>
      <c r="AID29" s="256" t="n"/>
      <c r="AIE29" s="256" t="n"/>
      <c r="AIF29" s="256" t="n"/>
      <c r="AIG29" s="256" t="n"/>
      <c r="AIH29" s="256" t="n"/>
      <c r="AII29" s="256" t="n"/>
      <c r="AIJ29" s="256" t="n"/>
      <c r="AIK29" s="256" t="n"/>
      <c r="AIL29" s="256" t="n"/>
      <c r="AIM29" s="256" t="n"/>
      <c r="AIN29" s="256" t="n"/>
      <c r="AIO29" s="256" t="n"/>
      <c r="AIP29" s="256" t="n"/>
      <c r="AIQ29" s="256" t="n"/>
      <c r="AIR29" s="256" t="n"/>
      <c r="AIS29" s="256" t="n"/>
      <c r="AIT29" s="256" t="n"/>
      <c r="AIU29" s="256" t="n"/>
      <c r="AIV29" s="256" t="n"/>
      <c r="AIW29" s="256" t="n"/>
      <c r="AIX29" s="256" t="n"/>
      <c r="AIY29" s="256" t="n"/>
      <c r="AIZ29" s="256" t="n"/>
      <c r="AJA29" s="256" t="n"/>
      <c r="AJB29" s="256" t="n"/>
      <c r="AJC29" s="256" t="n"/>
      <c r="AJD29" s="256" t="n"/>
      <c r="AJE29" s="256" t="n"/>
      <c r="AJF29" s="256" t="n"/>
      <c r="AJG29" s="256" t="n"/>
      <c r="AJH29" s="256" t="n"/>
      <c r="AJI29" s="256" t="n"/>
      <c r="AJJ29" s="256" t="n"/>
      <c r="AJK29" s="256" t="n"/>
      <c r="AJL29" s="256" t="n"/>
      <c r="AJM29" s="256" t="n"/>
      <c r="AJN29" s="256" t="n"/>
      <c r="AJO29" s="256" t="n"/>
      <c r="AJP29" s="256" t="n"/>
      <c r="AJQ29" s="256" t="n"/>
      <c r="AJR29" s="256" t="n"/>
      <c r="AJS29" s="256" t="n"/>
      <c r="AJT29" s="256" t="n"/>
      <c r="AJU29" s="256" t="n"/>
      <c r="AJV29" s="256" t="n"/>
      <c r="AJW29" s="256" t="n"/>
      <c r="AJX29" s="256" t="n"/>
      <c r="AJY29" s="256" t="n"/>
      <c r="AJZ29" s="256" t="n"/>
      <c r="AKA29" s="256" t="n"/>
      <c r="AKB29" s="256" t="n"/>
      <c r="AKC29" s="256" t="n"/>
      <c r="AKD29" s="256" t="n"/>
      <c r="AKE29" s="256" t="n"/>
      <c r="AKF29" s="256" t="n"/>
      <c r="AKG29" s="256" t="n"/>
      <c r="AKH29" s="256" t="n"/>
      <c r="AKI29" s="256" t="n"/>
      <c r="AKJ29" s="256" t="n"/>
      <c r="AKK29" s="256" t="n"/>
      <c r="AKL29" s="256" t="n"/>
      <c r="AKM29" s="256" t="n"/>
      <c r="AKN29" s="256" t="n"/>
      <c r="AKO29" s="256" t="n"/>
      <c r="AKP29" s="256" t="n"/>
      <c r="AKQ29" s="256" t="n"/>
      <c r="AKR29" s="256" t="n"/>
      <c r="AKS29" s="256" t="n"/>
      <c r="AKT29" s="256" t="n"/>
      <c r="AKU29" s="256" t="n"/>
      <c r="AKV29" s="256" t="n"/>
      <c r="AKW29" s="256" t="n"/>
      <c r="AKX29" s="256" t="n"/>
      <c r="AKY29" s="256" t="n"/>
      <c r="AKZ29" s="256" t="n"/>
      <c r="ALA29" s="256" t="n"/>
      <c r="ALB29" s="256" t="n"/>
      <c r="ALC29" s="256" t="n"/>
      <c r="ALD29" s="256" t="n"/>
      <c r="ALE29" s="256" t="n"/>
      <c r="ALF29" s="256" t="n"/>
      <c r="ALG29" s="256" t="n"/>
      <c r="ALH29" s="256" t="n"/>
      <c r="ALI29" s="256" t="n"/>
      <c r="ALJ29" s="256" t="n"/>
      <c r="ALK29" s="256" t="n"/>
      <c r="ALL29" s="256" t="n"/>
      <c r="ALM29" s="256" t="n"/>
      <c r="ALN29" s="256" t="n"/>
      <c r="ALO29" s="256" t="n"/>
      <c r="ALP29" s="256" t="n"/>
      <c r="ALQ29" s="256" t="n"/>
      <c r="ALR29" s="256" t="n"/>
      <c r="ALS29" s="256" t="n"/>
      <c r="ALT29" s="256" t="n"/>
      <c r="ALU29" s="256" t="n"/>
      <c r="ALV29" s="256" t="n"/>
      <c r="ALW29" s="256" t="n"/>
      <c r="ALX29" s="256" t="n"/>
      <c r="ALY29" s="256" t="n"/>
      <c r="ALZ29" s="256" t="n"/>
      <c r="AMA29" s="256" t="n"/>
      <c r="AMB29" s="256" t="n"/>
      <c r="AMC29" s="256" t="n"/>
      <c r="AMD29" s="25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BEGHuHNrUWmrrR5nW+1Dg==" formatRows="1" sort="1" spinCount="100000" hashValue="o37mCH4fSjoe3f5Y/ElYe/TVCp9OypmH3kvbaSrAiBmsX/CzK33W+Vjf4Zzoz7husjVqrnF0D8hNz6iD73ni0A=="/>
  <mergeCells count="24">
    <mergeCell ref="B16:C16"/>
    <mergeCell ref="B25:C25"/>
    <mergeCell ref="G8:G9"/>
    <mergeCell ref="B22:C22"/>
    <mergeCell ref="A1:H1"/>
    <mergeCell ref="B18:C18"/>
    <mergeCell ref="B27:I27"/>
    <mergeCell ref="B12:C12"/>
    <mergeCell ref="B21:C21"/>
    <mergeCell ref="B23:C23"/>
    <mergeCell ref="B14:C14"/>
    <mergeCell ref="B17:C17"/>
    <mergeCell ref="D8:F8"/>
    <mergeCell ref="B13:C13"/>
    <mergeCell ref="A8:A9"/>
    <mergeCell ref="I8:I9"/>
    <mergeCell ref="B19:C19"/>
    <mergeCell ref="B28:C28"/>
    <mergeCell ref="B24:C24"/>
    <mergeCell ref="B8:C9"/>
    <mergeCell ref="B15:C15"/>
    <mergeCell ref="H8:H9"/>
    <mergeCell ref="B20:C20"/>
    <mergeCell ref="B26:C26"/>
  </mergeCells>
  <pageMargins left="0.708333333333333" right="0.708333333333333" top="0.747916666666667" bottom="0.747916666666667" header="0.511811023622047" footer="0.315277777777778"/>
  <pageSetup orientation="landscape" paperSize="9" scale="55" horizontalDpi="300" verticalDpi="300"/>
  <headerFooter>
    <oddHeader/>
    <oddFooter>&amp;R&amp;P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7"/>
  <sheetViews>
    <sheetView view="pageBreakPreview" topLeftCell="A17" zoomScale="40" zoomScaleNormal="70" zoomScaleSheetLayoutView="40" zoomScalePageLayoutView="33" workbookViewId="0">
      <selection activeCell="D45" sqref="D45"/>
    </sheetView>
  </sheetViews>
  <sheetFormatPr baseColWidth="10" defaultColWidth="10" defaultRowHeight="24" customHeight="1"/>
  <cols>
    <col collapsed="1" width="18.08984375" customWidth="1" style="266" min="1" max="1"/>
    <col collapsed="1" width="18.6328125" customWidth="1" style="266" min="2" max="2"/>
    <col collapsed="1" width="79.26953125" customWidth="1" style="266" min="3" max="3"/>
    <col collapsed="1" width="24" customWidth="1" style="266" min="4" max="11"/>
    <col collapsed="1" width="31.1796875" customWidth="1" style="266" min="12" max="12"/>
    <col collapsed="1" width="25.7265625" customWidth="1" style="266" min="13" max="14"/>
    <col collapsed="1" width="10" customWidth="1" style="266" min="15" max="16384"/>
  </cols>
  <sheetData>
    <row r="1" ht="39.75" customHeight="1" s="885">
      <c r="A1" s="763" t="inlineStr">
        <is>
          <t>VENTILATION DES ENGAGEMENTS HORS BILAN  ENTRE LES DIFFERENTES CATEGORIES D'EXPOSITION (HORS DERIVES)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267" t="inlineStr">
        <is>
          <t>EP10</t>
        </is>
      </c>
    </row>
    <row r="2" ht="31.5" customHeight="1" s="885"/>
    <row r="3" ht="25" customFormat="1" customHeight="1" s="270">
      <c r="A3" s="268" t="n"/>
      <c r="B3" s="269" t="n"/>
      <c r="E3" s="960" t="n"/>
      <c r="F3" s="960" t="n"/>
      <c r="G3" s="960" t="n"/>
      <c r="H3" s="960" t="n"/>
      <c r="I3" s="960" t="n"/>
      <c r="J3" s="960" t="n"/>
      <c r="K3" s="960" t="n"/>
      <c r="L3" s="960" t="n"/>
    </row>
    <row r="4" ht="9.75" customFormat="1" customHeight="1" s="270">
      <c r="A4" s="272" t="n"/>
      <c r="B4" s="961" t="n"/>
    </row>
    <row r="5" ht="25" customFormat="1" customHeight="1" s="270">
      <c r="A5" s="272" t="n"/>
      <c r="B5" s="961" t="n"/>
    </row>
    <row r="6" ht="25" customFormat="1" customHeight="1" s="270">
      <c r="A6" s="268" t="n"/>
      <c r="B6" s="961" t="n"/>
    </row>
    <row r="7" ht="13.5" customHeight="1" s="885">
      <c r="A7" s="274" t="n"/>
      <c r="B7" s="274" t="n"/>
      <c r="C7" s="274" t="n"/>
      <c r="D7" s="274" t="n"/>
      <c r="E7" s="274" t="n"/>
      <c r="F7" s="274" t="n"/>
      <c r="G7" s="274" t="n"/>
      <c r="H7" s="274" t="n"/>
      <c r="I7" s="274" t="n"/>
      <c r="J7" s="274" t="n"/>
      <c r="K7" s="274" t="n"/>
      <c r="L7" s="274" t="n"/>
      <c r="M7" s="274" t="n"/>
      <c r="N7" s="274" t="n"/>
      <c r="O7" s="274" t="n"/>
      <c r="P7" s="274" t="n"/>
    </row>
    <row r="8" ht="39" customFormat="1" customHeight="1" s="276">
      <c r="A8" s="759" t="inlineStr">
        <is>
          <t>Code DISPRU</t>
        </is>
      </c>
      <c r="B8" s="759" t="inlineStr">
        <is>
          <t>Poste</t>
        </is>
      </c>
      <c r="C8" s="929" t="n"/>
      <c r="D8" s="764" t="inlineStr">
        <is>
          <t>Expositions brutes avant FCEC</t>
        </is>
      </c>
      <c r="E8" s="928" t="n"/>
      <c r="F8" s="929" t="n"/>
      <c r="G8" s="765" t="inlineStr">
        <is>
          <t>Répartition des expositions brutes par FCEC applicables</t>
        </is>
      </c>
      <c r="H8" s="894" t="n"/>
      <c r="I8" s="894" t="n"/>
      <c r="J8" s="894" t="n"/>
      <c r="K8" s="895" t="n"/>
      <c r="L8" s="759" t="inlineStr">
        <is>
          <t>Expositions brutes après FCEC</t>
        </is>
      </c>
      <c r="M8" s="759" t="inlineStr">
        <is>
          <t xml:space="preserve"> (-) Provisions</t>
        </is>
      </c>
      <c r="N8" s="759" t="inlineStr">
        <is>
          <t>Expositions nettes</t>
        </is>
      </c>
    </row>
    <row r="9" ht="77.25" customFormat="1" customHeight="1" s="276">
      <c r="A9" s="896" t="n"/>
      <c r="B9" s="962" t="n"/>
      <c r="C9" s="897" t="n"/>
      <c r="D9" s="277" t="n"/>
      <c r="E9" s="758" t="inlineStr">
        <is>
          <t>Dont ; Créances en souffrances</t>
        </is>
      </c>
      <c r="F9" s="758" t="inlineStr">
        <is>
          <t>Dont ; Créances à risque élevé</t>
        </is>
      </c>
      <c r="G9" s="963" t="n">
        <v>0.1</v>
      </c>
      <c r="H9" s="963" t="n">
        <v>0.2</v>
      </c>
      <c r="I9" s="963" t="n">
        <v>0.5</v>
      </c>
      <c r="J9" s="963" t="n">
        <v>0.75</v>
      </c>
      <c r="K9" s="963" t="n">
        <v>1</v>
      </c>
      <c r="L9" s="896" t="n"/>
      <c r="M9" s="896" t="n"/>
      <c r="N9" s="896" t="n"/>
    </row>
    <row r="10" ht="122.25" customFormat="1" customHeight="1" s="276">
      <c r="A10" s="760" t="n"/>
      <c r="B10" s="928" t="n"/>
      <c r="C10" s="928" t="n"/>
      <c r="D10" s="764" t="inlineStr">
        <is>
          <t>(a)</t>
        </is>
      </c>
      <c r="E10" s="764" t="inlineStr">
        <is>
          <t>(b)</t>
        </is>
      </c>
      <c r="F10" s="280" t="inlineStr">
        <is>
          <t>(c)</t>
        </is>
      </c>
      <c r="G10" s="764" t="inlineStr">
        <is>
          <t>(d)</t>
        </is>
      </c>
      <c r="H10" s="764" t="inlineStr">
        <is>
          <t>(e)</t>
        </is>
      </c>
      <c r="I10" s="764" t="inlineStr">
        <is>
          <t>(f)</t>
        </is>
      </c>
      <c r="J10" s="764" t="inlineStr">
        <is>
          <t>(g)</t>
        </is>
      </c>
      <c r="K10" s="764" t="inlineStr">
        <is>
          <t>(h)</t>
        </is>
      </c>
      <c r="L10" s="764" t="inlineStr">
        <is>
          <t xml:space="preserve">(i) = a - (0 ,9 x d) - (0,8 x e) - (0,5 x f) - (0,25 x g)  </t>
        </is>
      </c>
      <c r="M10" s="764" t="inlineStr">
        <is>
          <t>(j)</t>
        </is>
      </c>
      <c r="N10" s="764" t="inlineStr">
        <is>
          <t>(k) = i + j</t>
        </is>
      </c>
    </row>
    <row r="11" ht="33" customFormat="1" customHeight="1" s="282">
      <c r="A11" s="281" t="n"/>
      <c r="B11" s="761" t="inlineStr">
        <is>
          <t>Engagement de financement soumis au risque de crédit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4" t="n"/>
      <c r="K11" s="894" t="n"/>
      <c r="L11" s="894" t="n"/>
      <c r="M11" s="894" t="n"/>
      <c r="N11" s="895" t="n"/>
    </row>
    <row r="12" ht="34.5" customHeight="1" s="885">
      <c r="A12" s="283" t="inlineStr">
        <is>
          <t>RC017</t>
        </is>
      </c>
      <c r="B12" s="762" t="n"/>
      <c r="C12" s="897" t="n"/>
      <c r="D12" s="284" t="n"/>
      <c r="E12" s="284" t="n"/>
      <c r="F12" s="284" t="n"/>
      <c r="G12" s="284" t="n"/>
      <c r="H12" s="284" t="n"/>
      <c r="I12" s="284" t="n"/>
      <c r="J12" s="284" t="n"/>
      <c r="K12" s="284" t="n"/>
      <c r="L12" s="284" t="n"/>
      <c r="M12" s="284" t="n"/>
      <c r="N12" s="285" t="n"/>
    </row>
    <row r="13" ht="51" customHeight="1" s="885">
      <c r="A13" s="283" t="inlineStr">
        <is>
          <t>RC018</t>
        </is>
      </c>
      <c r="B13" s="756" t="n"/>
      <c r="C13" s="895" t="n"/>
      <c r="D13" s="286" t="n"/>
      <c r="E13" s="286" t="n"/>
      <c r="F13" s="286" t="n"/>
      <c r="G13" s="286" t="n"/>
      <c r="H13" s="286" t="n"/>
      <c r="I13" s="286" t="n"/>
      <c r="J13" s="286" t="n"/>
      <c r="K13" s="286" t="n"/>
      <c r="L13" s="286" t="n"/>
      <c r="M13" s="286" t="n"/>
      <c r="N13" s="287" t="n"/>
    </row>
    <row r="14" ht="45.75" customHeight="1" s="885">
      <c r="A14" s="283" t="inlineStr">
        <is>
          <t>RC019</t>
        </is>
      </c>
      <c r="B14" s="756" t="n"/>
      <c r="C14" s="895" t="n"/>
      <c r="D14" s="286" t="n"/>
      <c r="E14" s="286" t="n"/>
      <c r="F14" s="286" t="n"/>
      <c r="G14" s="286" t="n"/>
      <c r="H14" s="286" t="n"/>
      <c r="I14" s="286" t="n"/>
      <c r="J14" s="286" t="n"/>
      <c r="K14" s="286" t="n"/>
      <c r="L14" s="286" t="n"/>
      <c r="M14" s="286" t="n"/>
      <c r="N14" s="287" t="n"/>
    </row>
    <row r="15" ht="34.5" customHeight="1" s="885">
      <c r="A15" s="283" t="inlineStr">
        <is>
          <t>RC020</t>
        </is>
      </c>
      <c r="B15" s="756" t="n"/>
      <c r="C15" s="895" t="n"/>
      <c r="D15" s="286" t="n"/>
      <c r="E15" s="286" t="n"/>
      <c r="F15" s="286" t="n"/>
      <c r="G15" s="286" t="n"/>
      <c r="H15" s="286" t="n"/>
      <c r="I15" s="286">
        <f>D15</f>
        <v/>
      </c>
      <c r="J15" s="286" t="n"/>
      <c r="K15" s="286" t="n"/>
      <c r="L15" s="286">
        <f>I15*0.5</f>
        <v/>
      </c>
      <c r="M15" s="286" t="n"/>
      <c r="N15" s="287">
        <f>L15+M15</f>
        <v/>
      </c>
    </row>
    <row r="16" ht="34.5" customHeight="1" s="885">
      <c r="A16" s="283" t="inlineStr">
        <is>
          <t>RC021</t>
        </is>
      </c>
      <c r="B16" s="756" t="inlineStr">
        <is>
          <t>Expositions sur les entreprises; dont :</t>
        </is>
      </c>
      <c r="C16" s="895" t="n"/>
      <c r="D16" s="286">
        <f>D17+D18</f>
        <v/>
      </c>
      <c r="E16" s="286">
        <f>E17+E18</f>
        <v/>
      </c>
      <c r="F16" s="286">
        <f>F17+F18</f>
        <v/>
      </c>
      <c r="G16" s="286">
        <f>G17+G18</f>
        <v/>
      </c>
      <c r="H16" s="286">
        <f>H17+H18</f>
        <v/>
      </c>
      <c r="I16" s="286">
        <f>I17+I18</f>
        <v/>
      </c>
      <c r="J16" s="286">
        <f>J17+J18</f>
        <v/>
      </c>
      <c r="K16" s="286">
        <f>K17+K18</f>
        <v/>
      </c>
      <c r="L16" s="286">
        <f>L17+L18</f>
        <v/>
      </c>
      <c r="M16" s="286">
        <f>M17+M18</f>
        <v/>
      </c>
      <c r="N16" s="287">
        <f>N17+N18</f>
        <v/>
      </c>
    </row>
    <row r="17" ht="34.5" customHeight="1" s="885">
      <c r="A17" s="283" t="inlineStr">
        <is>
          <t>RC022</t>
        </is>
      </c>
      <c r="B17" s="756" t="n"/>
      <c r="C17" s="895" t="n"/>
      <c r="D17" s="286" t="n"/>
      <c r="E17" s="286" t="n"/>
      <c r="F17" s="286" t="n"/>
      <c r="G17" s="286" t="n"/>
      <c r="H17" s="286" t="n"/>
      <c r="I17" s="286" t="n"/>
      <c r="J17" s="286" t="n"/>
      <c r="K17" s="286" t="n"/>
      <c r="L17" s="286" t="n"/>
      <c r="M17" s="286" t="n"/>
      <c r="N17" s="287" t="n"/>
    </row>
    <row r="18" ht="34.5" customHeight="1" s="885">
      <c r="A18" s="283" t="inlineStr">
        <is>
          <t>RC023</t>
        </is>
      </c>
      <c r="B18" s="756" t="n"/>
      <c r="C18" s="895" t="n"/>
      <c r="D18" s="286" t="n"/>
      <c r="E18" s="286" t="n"/>
      <c r="F18" s="286" t="n"/>
      <c r="G18" s="286" t="n"/>
      <c r="H18" s="286" t="n"/>
      <c r="I18" s="286">
        <f>D18</f>
        <v/>
      </c>
      <c r="J18" s="286" t="n"/>
      <c r="K18" s="286" t="n"/>
      <c r="L18" s="286">
        <f>I18*0.5</f>
        <v/>
      </c>
      <c r="M18" s="286" t="n"/>
      <c r="N18" s="287">
        <f>L18+M18</f>
        <v/>
      </c>
    </row>
    <row r="19" ht="34.5" customHeight="1" s="885">
      <c r="A19" s="283" t="inlineStr">
        <is>
          <t>RC024</t>
        </is>
      </c>
      <c r="B19" s="756" t="n"/>
      <c r="C19" s="895" t="n"/>
      <c r="D19" s="286">
        <f>D20+D21</f>
        <v/>
      </c>
      <c r="E19" s="286">
        <f>E20+E21</f>
        <v/>
      </c>
      <c r="F19" s="286">
        <f>F20+F21</f>
        <v/>
      </c>
      <c r="G19" s="286">
        <f>G20+G21</f>
        <v/>
      </c>
      <c r="H19" s="286">
        <f>H20+H21</f>
        <v/>
      </c>
      <c r="I19" s="286">
        <f>I20+I21</f>
        <v/>
      </c>
      <c r="J19" s="286">
        <f>J20+J21</f>
        <v/>
      </c>
      <c r="K19" s="286">
        <f>K20+K21</f>
        <v/>
      </c>
      <c r="L19" s="286">
        <f>L20+L21</f>
        <v/>
      </c>
      <c r="M19" s="286">
        <f>M20+M21</f>
        <v/>
      </c>
      <c r="N19" s="287">
        <f>N20+N21</f>
        <v/>
      </c>
    </row>
    <row r="20" ht="34.5" customHeight="1" s="885">
      <c r="A20" s="283" t="inlineStr">
        <is>
          <t>RC025</t>
        </is>
      </c>
      <c r="B20" s="756" t="n"/>
      <c r="C20" s="895" t="n"/>
      <c r="D20" s="286" t="n"/>
      <c r="E20" s="286" t="n"/>
      <c r="F20" s="286" t="n"/>
      <c r="G20" s="286" t="n"/>
      <c r="H20" s="286" t="n"/>
      <c r="I20" s="286" t="n"/>
      <c r="J20" s="286" t="n"/>
      <c r="K20" s="286" t="n"/>
      <c r="L20" s="286" t="n"/>
      <c r="M20" s="286" t="n"/>
      <c r="N20" s="287" t="n"/>
    </row>
    <row r="21" ht="34.5" customHeight="1" s="885">
      <c r="A21" s="283" t="inlineStr">
        <is>
          <t>RC026</t>
        </is>
      </c>
      <c r="B21" s="756" t="n"/>
      <c r="C21" s="895" t="n"/>
      <c r="D21" s="286" t="n"/>
      <c r="E21" s="286" t="n"/>
      <c r="F21" s="286" t="n"/>
      <c r="G21" s="286" t="n"/>
      <c r="H21" s="286" t="n"/>
      <c r="I21" s="286">
        <f>D21</f>
        <v/>
      </c>
      <c r="J21" s="286" t="n"/>
      <c r="K21" s="286" t="n"/>
      <c r="L21" s="286">
        <f>I21*0.5</f>
        <v/>
      </c>
      <c r="M21" s="286" t="n"/>
      <c r="N21" s="287">
        <f>L21+M21</f>
        <v/>
      </c>
    </row>
    <row r="22" ht="43.5" customHeight="1" s="885">
      <c r="A22" s="283" t="inlineStr">
        <is>
          <t>RC027</t>
        </is>
      </c>
      <c r="B22" s="756" t="n"/>
      <c r="C22" s="895" t="n"/>
      <c r="D22" s="286" t="n"/>
      <c r="E22" s="286" t="n"/>
      <c r="F22" s="286" t="n"/>
      <c r="G22" s="286" t="n"/>
      <c r="H22" s="286" t="n"/>
      <c r="I22" s="286" t="n"/>
      <c r="J22" s="286" t="n"/>
      <c r="K22" s="286" t="n"/>
      <c r="L22" s="286" t="n"/>
      <c r="M22" s="286" t="n"/>
      <c r="N22" s="287" t="n"/>
    </row>
    <row r="23" ht="48" customHeight="1" s="885">
      <c r="A23" s="283" t="inlineStr">
        <is>
          <t>RC028</t>
        </is>
      </c>
      <c r="B23" s="756" t="n"/>
      <c r="C23" s="895" t="n"/>
      <c r="D23" s="286">
        <f>D24+D25</f>
        <v/>
      </c>
      <c r="E23" s="286">
        <f>E24+E25</f>
        <v/>
      </c>
      <c r="F23" s="286">
        <f>F24+F25</f>
        <v/>
      </c>
      <c r="G23" s="286">
        <f>G24+G25</f>
        <v/>
      </c>
      <c r="H23" s="286">
        <f>H24+H25</f>
        <v/>
      </c>
      <c r="I23" s="286">
        <f>I24+I25</f>
        <v/>
      </c>
      <c r="J23" s="286">
        <f>J24+J25</f>
        <v/>
      </c>
      <c r="K23" s="286">
        <f>K24+K25</f>
        <v/>
      </c>
      <c r="L23" s="286">
        <f>L24+L25</f>
        <v/>
      </c>
      <c r="M23" s="286">
        <f>M24+M25</f>
        <v/>
      </c>
      <c r="N23" s="287">
        <f>N24+N25</f>
        <v/>
      </c>
    </row>
    <row r="24" ht="34.5" customHeight="1" s="885">
      <c r="A24" s="283" t="inlineStr">
        <is>
          <t>RC029</t>
        </is>
      </c>
      <c r="B24" s="756" t="n"/>
      <c r="C24" s="895" t="n"/>
      <c r="D24" s="286" t="n"/>
      <c r="E24" s="286" t="n"/>
      <c r="F24" s="286" t="n"/>
      <c r="G24" s="286" t="n"/>
      <c r="H24" s="286" t="n"/>
      <c r="I24" s="286" t="n"/>
      <c r="J24" s="286" t="n"/>
      <c r="K24" s="286" t="n"/>
      <c r="L24" s="286" t="n"/>
      <c r="M24" s="286" t="n"/>
      <c r="N24" s="287" t="n"/>
    </row>
    <row r="25" ht="51" customHeight="1" s="885">
      <c r="A25" s="283" t="inlineStr">
        <is>
          <t>RC030</t>
        </is>
      </c>
      <c r="B25" s="756" t="n"/>
      <c r="C25" s="895" t="n"/>
      <c r="D25" s="286" t="n"/>
      <c r="E25" s="286" t="n"/>
      <c r="F25" s="286" t="n"/>
      <c r="G25" s="286" t="n"/>
      <c r="H25" s="286" t="n"/>
      <c r="I25" s="286">
        <f>D25</f>
        <v/>
      </c>
      <c r="J25" s="286" t="n"/>
      <c r="K25" s="286" t="n"/>
      <c r="L25" s="286">
        <f>I25*0.5</f>
        <v/>
      </c>
      <c r="M25" s="286" t="n"/>
      <c r="N25" s="287">
        <f>L25+M25</f>
        <v/>
      </c>
    </row>
    <row r="26" ht="34.5" customHeight="1" s="885">
      <c r="A26" s="283" t="inlineStr">
        <is>
          <t>RC031</t>
        </is>
      </c>
      <c r="B26" s="756" t="n"/>
      <c r="C26" s="895" t="n"/>
      <c r="D26" s="286" t="n"/>
      <c r="E26" s="286" t="n"/>
      <c r="F26" s="286" t="n"/>
      <c r="G26" s="286" t="n"/>
      <c r="H26" s="286" t="n"/>
      <c r="I26" s="286" t="n"/>
      <c r="J26" s="286" t="n"/>
      <c r="K26" s="286" t="n"/>
      <c r="L26" s="286" t="n"/>
      <c r="M26" s="286" t="n"/>
      <c r="N26" s="287" t="n"/>
    </row>
    <row r="27" ht="12.75" customHeight="1" s="885">
      <c r="B27" s="757" t="n"/>
      <c r="C27" s="894" t="n"/>
      <c r="D27" s="894" t="n"/>
      <c r="E27" s="894" t="n"/>
      <c r="F27" s="894" t="n"/>
      <c r="G27" s="894" t="n"/>
      <c r="H27" s="894" t="n"/>
      <c r="I27" s="894" t="n"/>
      <c r="J27" s="894" t="n"/>
      <c r="K27" s="894" t="n"/>
      <c r="L27" s="894" t="n"/>
      <c r="M27" s="894" t="n"/>
      <c r="N27" s="895" t="n"/>
    </row>
    <row r="28" ht="57" customFormat="1" customHeight="1" s="291">
      <c r="A28" s="288" t="inlineStr">
        <is>
          <t>RC032</t>
        </is>
      </c>
      <c r="B28" s="758" t="n"/>
      <c r="C28" s="895" t="n"/>
      <c r="D28" s="289">
        <f>D12+D13+D14+D15+D16+D19+D22+D23+D26</f>
        <v/>
      </c>
      <c r="E28" s="289">
        <f>E12+E13+E14+E15+E16+E19+E22+E23+E26</f>
        <v/>
      </c>
      <c r="F28" s="289">
        <f>F12+F13+F14+F15+F16+F19+F22+F23+F26</f>
        <v/>
      </c>
      <c r="G28" s="289">
        <f>G12+G13+G14+G15+G16+G19+G22+G23+G26</f>
        <v/>
      </c>
      <c r="H28" s="289">
        <f>H12+H13+H14+H15+H16+H19+H22+H23+H26</f>
        <v/>
      </c>
      <c r="I28" s="289">
        <f>I12+I13+I14+I15+I16+I19+I22+I23+I26</f>
        <v/>
      </c>
      <c r="J28" s="289">
        <f>J12+J13+J14+J15+J16+J19+J22+J23+J26</f>
        <v/>
      </c>
      <c r="K28" s="289">
        <f>K12+K13+K14+K15+K16+K19+K22+K23+K26</f>
        <v/>
      </c>
      <c r="L28" s="289">
        <f>L12+L13+L14+L15+L16+L19+L22+L23+L26</f>
        <v/>
      </c>
      <c r="M28" s="289">
        <f>M12+M13+M14+M15+M16+M19+M22+M23+M26</f>
        <v/>
      </c>
      <c r="N28" s="290">
        <f>N12+N13+N14+N15+N16+N19+N22+N23+N26</f>
        <v/>
      </c>
    </row>
    <row r="29" ht="12.75" customHeight="1" s="885"/>
    <row r="30" ht="77.25" customHeight="1" s="885">
      <c r="A30" s="283" t="n"/>
      <c r="B30" s="758" t="n"/>
      <c r="C30" s="894" t="n"/>
      <c r="D30" s="894" t="n"/>
      <c r="E30" s="894" t="n"/>
      <c r="F30" s="894" t="n"/>
      <c r="G30" s="894" t="n"/>
      <c r="H30" s="894" t="n"/>
      <c r="I30" s="894" t="n"/>
      <c r="J30" s="894" t="n"/>
      <c r="K30" s="894" t="n"/>
      <c r="L30" s="894" t="n"/>
      <c r="M30" s="894" t="n"/>
      <c r="N30" s="895" t="n"/>
    </row>
    <row r="31" ht="34.5" customHeight="1" s="885">
      <c r="A31" s="283" t="inlineStr">
        <is>
          <t>RC033</t>
        </is>
      </c>
      <c r="B31" s="756" t="n"/>
      <c r="C31" s="895" t="n"/>
      <c r="D31" s="286" t="n"/>
      <c r="E31" s="286" t="n"/>
      <c r="F31" s="286" t="n"/>
      <c r="G31" s="286" t="n"/>
      <c r="H31" s="286" t="n"/>
      <c r="I31" s="286" t="n"/>
      <c r="J31" s="286" t="n"/>
      <c r="K31" s="286" t="n"/>
      <c r="L31" s="286" t="n"/>
      <c r="M31" s="286" t="n"/>
      <c r="N31" s="287" t="n"/>
    </row>
    <row r="32" ht="52.5" customHeight="1" s="885">
      <c r="A32" s="283" t="inlineStr">
        <is>
          <t>RC034</t>
        </is>
      </c>
      <c r="B32" s="756" t="n"/>
      <c r="C32" s="895" t="n"/>
      <c r="D32" s="286" t="n"/>
      <c r="E32" s="286" t="n"/>
      <c r="F32" s="286" t="n"/>
      <c r="G32" s="286" t="n"/>
      <c r="H32" s="286" t="n"/>
      <c r="I32" s="286" t="n"/>
      <c r="J32" s="286" t="n"/>
      <c r="K32" s="286" t="n"/>
      <c r="L32" s="286" t="n"/>
      <c r="M32" s="286" t="n"/>
      <c r="N32" s="287" t="n"/>
    </row>
    <row r="33" ht="47.25" customHeight="1" s="885">
      <c r="A33" s="283" t="inlineStr">
        <is>
          <t>RC035</t>
        </is>
      </c>
      <c r="B33" s="756" t="n"/>
      <c r="C33" s="895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</row>
    <row r="34" ht="34.5" customHeight="1" s="885">
      <c r="A34" s="283" t="inlineStr">
        <is>
          <t>RC036</t>
        </is>
      </c>
      <c r="B34" s="756" t="n"/>
      <c r="C34" s="895" t="n"/>
      <c r="D34" s="286" t="n"/>
      <c r="E34" s="286" t="n"/>
      <c r="F34" s="286" t="n"/>
      <c r="G34" s="286" t="n"/>
      <c r="H34" s="286" t="n"/>
      <c r="I34" s="286">
        <f>D34</f>
        <v/>
      </c>
      <c r="J34" s="286" t="n"/>
      <c r="K34" s="286" t="n"/>
      <c r="L34" s="286">
        <f>I34*0.5</f>
        <v/>
      </c>
      <c r="M34" s="286" t="n"/>
      <c r="N34" s="287">
        <f>L34+M34</f>
        <v/>
      </c>
    </row>
    <row r="35" ht="34.5" customHeight="1" s="885">
      <c r="A35" s="283" t="inlineStr">
        <is>
          <t>RC037</t>
        </is>
      </c>
      <c r="B35" s="756" t="inlineStr">
        <is>
          <t>Expositions sur les entreprises; dont :</t>
        </is>
      </c>
      <c r="C35" s="895" t="n"/>
      <c r="D35" s="286">
        <f>D36+D37</f>
        <v/>
      </c>
      <c r="E35" s="286">
        <f>E36+E37</f>
        <v/>
      </c>
      <c r="F35" s="286">
        <f>F36+F37</f>
        <v/>
      </c>
      <c r="G35" s="286">
        <f>G36+G37</f>
        <v/>
      </c>
      <c r="H35" s="286">
        <f>H36+H37</f>
        <v/>
      </c>
      <c r="I35" s="286">
        <f>I36+I37</f>
        <v/>
      </c>
      <c r="J35" s="286">
        <f>J36+J37</f>
        <v/>
      </c>
      <c r="K35" s="286">
        <f>K36+K37</f>
        <v/>
      </c>
      <c r="L35" s="286">
        <f>L36+L37</f>
        <v/>
      </c>
      <c r="M35" s="286">
        <f>M36+M37</f>
        <v/>
      </c>
      <c r="N35" s="287">
        <f>N36+N37</f>
        <v/>
      </c>
    </row>
    <row r="36" ht="34.5" customHeight="1" s="885">
      <c r="A36" s="283" t="inlineStr">
        <is>
          <t>RC038</t>
        </is>
      </c>
      <c r="B36" s="756" t="n"/>
      <c r="C36" s="895" t="n"/>
      <c r="D36" s="286" t="n"/>
      <c r="E36" s="286" t="n"/>
      <c r="F36" s="286" t="n"/>
      <c r="G36" s="286" t="n"/>
      <c r="H36" s="286" t="n"/>
      <c r="I36" s="286" t="n"/>
      <c r="J36" s="286" t="n"/>
      <c r="K36" s="286" t="n"/>
      <c r="L36" s="286" t="n"/>
      <c r="M36" s="286" t="n"/>
      <c r="N36" s="287" t="n"/>
    </row>
    <row r="37" ht="34.5" customHeight="1" s="885">
      <c r="A37" s="283" t="inlineStr">
        <is>
          <t>RC039</t>
        </is>
      </c>
      <c r="B37" s="756" t="n"/>
      <c r="C37" s="895" t="n"/>
      <c r="D37" s="286" t="n"/>
      <c r="E37" s="286" t="n"/>
      <c r="F37" s="286" t="n"/>
      <c r="G37" s="286" t="n"/>
      <c r="H37" s="286" t="n"/>
      <c r="I37" s="286">
        <f>D37</f>
        <v/>
      </c>
      <c r="J37" s="286" t="n"/>
      <c r="K37" s="286" t="n"/>
      <c r="L37" s="286">
        <f>I37*0.5</f>
        <v/>
      </c>
      <c r="M37" s="286" t="n"/>
      <c r="N37" s="287">
        <f>L37+M37</f>
        <v/>
      </c>
    </row>
    <row r="38" ht="34.5" customHeight="1" s="885">
      <c r="A38" s="283" t="inlineStr">
        <is>
          <t>RC040</t>
        </is>
      </c>
      <c r="B38" s="756" t="n"/>
      <c r="C38" s="895" t="n"/>
      <c r="D38" s="286">
        <f>D39+D40</f>
        <v/>
      </c>
      <c r="E38" s="286">
        <f>E39+E40</f>
        <v/>
      </c>
      <c r="F38" s="286">
        <f>F39+F40</f>
        <v/>
      </c>
      <c r="G38" s="286">
        <f>G39+G40</f>
        <v/>
      </c>
      <c r="H38" s="286">
        <f>H39+H40</f>
        <v/>
      </c>
      <c r="I38" s="286">
        <f>I39+I40</f>
        <v/>
      </c>
      <c r="J38" s="286">
        <f>J39+J40</f>
        <v/>
      </c>
      <c r="K38" s="286">
        <f>K39+K40</f>
        <v/>
      </c>
      <c r="L38" s="286">
        <f>L39+L40</f>
        <v/>
      </c>
      <c r="M38" s="286">
        <f>M39+M40</f>
        <v/>
      </c>
      <c r="N38" s="287">
        <f>N39+N40</f>
        <v/>
      </c>
    </row>
    <row r="39" ht="34.5" customHeight="1" s="885">
      <c r="A39" s="283" t="inlineStr">
        <is>
          <t>RC041</t>
        </is>
      </c>
      <c r="B39" s="756" t="n"/>
      <c r="C39" s="895" t="n"/>
      <c r="D39" s="286" t="n"/>
      <c r="E39" s="286" t="n"/>
      <c r="F39" s="286" t="n"/>
      <c r="G39" s="286" t="n"/>
      <c r="H39" s="286" t="n"/>
      <c r="I39" s="286" t="n"/>
      <c r="J39" s="286" t="n"/>
      <c r="K39" s="286" t="n"/>
      <c r="L39" s="286" t="n"/>
      <c r="M39" s="286" t="n"/>
      <c r="N39" s="287" t="n"/>
    </row>
    <row r="40" ht="34.5" customHeight="1" s="885">
      <c r="A40" s="283" t="inlineStr">
        <is>
          <t>RC042</t>
        </is>
      </c>
      <c r="B40" s="756" t="n"/>
      <c r="C40" s="895" t="n"/>
      <c r="D40" s="286" t="n"/>
      <c r="E40" s="286" t="n"/>
      <c r="F40" s="286" t="n"/>
      <c r="G40" s="286" t="n"/>
      <c r="H40" s="286" t="n"/>
      <c r="I40" s="286">
        <f>D40</f>
        <v/>
      </c>
      <c r="J40" s="286" t="n"/>
      <c r="K40" s="286" t="n"/>
      <c r="L40" s="286">
        <f>I40*0.5</f>
        <v/>
      </c>
      <c r="M40" s="286" t="n"/>
      <c r="N40" s="287">
        <f>L40+M40</f>
        <v/>
      </c>
    </row>
    <row r="41" ht="51.75" customHeight="1" s="885">
      <c r="A41" s="283" t="inlineStr">
        <is>
          <t>RC043</t>
        </is>
      </c>
      <c r="B41" s="756" t="n"/>
      <c r="C41" s="895" t="n"/>
      <c r="D41" s="286" t="n"/>
      <c r="E41" s="286" t="n"/>
      <c r="F41" s="286" t="n"/>
      <c r="G41" s="286" t="n"/>
      <c r="H41" s="286" t="n"/>
      <c r="I41" s="286" t="n"/>
      <c r="J41" s="286" t="n"/>
      <c r="K41" s="286" t="n"/>
      <c r="L41" s="286" t="n"/>
      <c r="M41" s="286" t="n"/>
      <c r="N41" s="287" t="n"/>
    </row>
    <row r="42" ht="51" customHeight="1" s="885">
      <c r="A42" s="283" t="inlineStr">
        <is>
          <t>RC044</t>
        </is>
      </c>
      <c r="B42" s="756" t="n"/>
      <c r="C42" s="895" t="n"/>
      <c r="D42" s="286">
        <f>D43+D44</f>
        <v/>
      </c>
      <c r="E42" s="286">
        <f>E43+E44</f>
        <v/>
      </c>
      <c r="F42" s="286">
        <f>F43+F44</f>
        <v/>
      </c>
      <c r="G42" s="286">
        <f>G43+G44</f>
        <v/>
      </c>
      <c r="H42" s="286">
        <f>H43+H44</f>
        <v/>
      </c>
      <c r="I42" s="286">
        <f>I43+I44</f>
        <v/>
      </c>
      <c r="J42" s="286">
        <f>J43+J44</f>
        <v/>
      </c>
      <c r="K42" s="286">
        <f>K43+K44</f>
        <v/>
      </c>
      <c r="L42" s="286">
        <f>L43+L44</f>
        <v/>
      </c>
      <c r="M42" s="286">
        <f>M43+M44</f>
        <v/>
      </c>
      <c r="N42" s="287">
        <f>N43+N44</f>
        <v/>
      </c>
    </row>
    <row r="43" ht="34.5" customHeight="1" s="885">
      <c r="A43" s="283" t="inlineStr">
        <is>
          <t>RC045</t>
        </is>
      </c>
      <c r="B43" s="756" t="n"/>
      <c r="C43" s="895" t="n"/>
      <c r="D43" s="286" t="n"/>
      <c r="E43" s="286" t="n"/>
      <c r="F43" s="286" t="n"/>
      <c r="G43" s="286" t="n"/>
      <c r="H43" s="286" t="n"/>
      <c r="I43" s="286" t="n"/>
      <c r="J43" s="286" t="n"/>
      <c r="K43" s="286" t="n"/>
      <c r="L43" s="286" t="n"/>
      <c r="M43" s="286" t="n"/>
      <c r="N43" s="287" t="n"/>
    </row>
    <row r="44" ht="51" customHeight="1" s="885">
      <c r="A44" s="283" t="inlineStr">
        <is>
          <t>RC046</t>
        </is>
      </c>
      <c r="B44" s="756" t="n"/>
      <c r="C44" s="895" t="n"/>
      <c r="D44" s="286" t="n"/>
      <c r="E44" s="286" t="n"/>
      <c r="F44" s="286" t="n"/>
      <c r="G44" s="286" t="n"/>
      <c r="H44" s="286" t="n"/>
      <c r="I44" s="286">
        <f>D44</f>
        <v/>
      </c>
      <c r="J44" s="286" t="n"/>
      <c r="K44" s="286" t="n"/>
      <c r="L44" s="286">
        <f>I44*0.5</f>
        <v/>
      </c>
      <c r="M44" s="286" t="n"/>
      <c r="N44" s="287">
        <f>L44+M44</f>
        <v/>
      </c>
    </row>
    <row r="45" ht="34.5" customHeight="1" s="885">
      <c r="A45" s="283" t="inlineStr">
        <is>
          <t>RC047</t>
        </is>
      </c>
      <c r="B45" s="756" t="n"/>
      <c r="C45" s="895" t="n"/>
      <c r="D45" s="286" t="n"/>
      <c r="E45" s="286" t="n"/>
      <c r="F45" s="286" t="n"/>
      <c r="G45" s="286" t="n"/>
      <c r="H45" s="286" t="n"/>
      <c r="I45" s="286" t="n"/>
      <c r="J45" s="286" t="n"/>
      <c r="K45" s="286" t="n"/>
      <c r="L45" s="286" t="n"/>
      <c r="M45" s="286" t="n"/>
      <c r="N45" s="287" t="n"/>
    </row>
    <row r="46" ht="6.75" customHeight="1" s="885">
      <c r="B46" s="757" t="n"/>
      <c r="C46" s="894" t="n"/>
      <c r="D46" s="894" t="n"/>
      <c r="E46" s="894" t="n"/>
      <c r="F46" s="894" t="n"/>
      <c r="G46" s="894" t="n"/>
      <c r="H46" s="894" t="n"/>
      <c r="I46" s="894" t="n"/>
      <c r="J46" s="894" t="n"/>
      <c r="K46" s="894" t="n"/>
      <c r="L46" s="894" t="n"/>
      <c r="M46" s="894" t="n"/>
      <c r="N46" s="895" t="n"/>
    </row>
    <row r="47" ht="93.75" customFormat="1" customHeight="1" s="291">
      <c r="A47" s="283" t="inlineStr">
        <is>
          <t>RC048</t>
        </is>
      </c>
      <c r="B47" s="758" t="inlineStr">
        <is>
          <t>TOTAL EXPOSITIONS SUR LES AUTRES ENGAGEMENTS HORS-BILAN (EXCLUANT LES DERIVES)</t>
        </is>
      </c>
      <c r="C47" s="895" t="n"/>
      <c r="D47" s="289">
        <f>D31+D32+D33+D34+D35+D38+D41+D42+D45</f>
        <v/>
      </c>
      <c r="E47" s="289">
        <f>E31+E32+E33+E34+E35+E38+E41+E42+E45</f>
        <v/>
      </c>
      <c r="F47" s="289">
        <f>F31+F32+F33+F34+F35+F38+F41+F42+F45</f>
        <v/>
      </c>
      <c r="G47" s="289">
        <f>G31+G32+G33+G34+G35+G38+G41+G42+G45</f>
        <v/>
      </c>
      <c r="H47" s="289">
        <f>H31+H32+H33+H34+H35+H38+H41+H42+H45</f>
        <v/>
      </c>
      <c r="I47" s="289">
        <f>I31+I32+I33+I34+I35+I38+I41+I42+I45</f>
        <v/>
      </c>
      <c r="J47" s="289">
        <f>J31+J32+J33+J34+J35+J38+J41+J42+J45</f>
        <v/>
      </c>
      <c r="K47" s="289">
        <f>K31+K32+K33+K34+K35+K38+K41+K42+K45</f>
        <v/>
      </c>
      <c r="L47" s="289">
        <f>L31+L32+L33+L34+L35+L38+L41+L42+L45</f>
        <v/>
      </c>
      <c r="M47" s="289">
        <f>M31+M32+M33+M34+M35+M38+M41+M42+M45</f>
        <v/>
      </c>
      <c r="N47" s="290">
        <f>N31+N32+N33+N34+N35+N38+N41+N42+N45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73dp+m4Dv9czUqKveAJiA==" formatRows="1" sort="1" spinCount="100000" hashValue="BQl4QspqeIasFyS4uVveGGW78On+9K2ydi0Y1Zo/FPFbu4YfMfUVHIgwJg5v7XUw3vKLEQ9vmuPhOPIDO5uv9g=="/>
  <mergeCells count="45">
    <mergeCell ref="B47:C47"/>
    <mergeCell ref="B16:C16"/>
    <mergeCell ref="B25:C25"/>
    <mergeCell ref="B22:C22"/>
    <mergeCell ref="B30:N30"/>
    <mergeCell ref="B31:C31"/>
    <mergeCell ref="B18:C18"/>
    <mergeCell ref="G8:K8"/>
    <mergeCell ref="B43:C43"/>
    <mergeCell ref="B12:C12"/>
    <mergeCell ref="B39:C39"/>
    <mergeCell ref="B21:C21"/>
    <mergeCell ref="L8:L9"/>
    <mergeCell ref="N8:N9"/>
    <mergeCell ref="B42:C42"/>
    <mergeCell ref="B23:C23"/>
    <mergeCell ref="B14:C14"/>
    <mergeCell ref="B17:C17"/>
    <mergeCell ref="D8:F8"/>
    <mergeCell ref="A10:C10"/>
    <mergeCell ref="B13:C13"/>
    <mergeCell ref="B46:N46"/>
    <mergeCell ref="B38:C38"/>
    <mergeCell ref="A8:A9"/>
    <mergeCell ref="B44:C44"/>
    <mergeCell ref="A1:M1"/>
    <mergeCell ref="B27:N27"/>
    <mergeCell ref="B19:C19"/>
    <mergeCell ref="B34:C34"/>
    <mergeCell ref="M8:M9"/>
    <mergeCell ref="B37:C37"/>
    <mergeCell ref="B28:C28"/>
    <mergeCell ref="B40:C40"/>
    <mergeCell ref="B11:N11"/>
    <mergeCell ref="B24:C24"/>
    <mergeCell ref="B8:C9"/>
    <mergeCell ref="B15:C15"/>
    <mergeCell ref="B33:C33"/>
    <mergeCell ref="B20:C20"/>
    <mergeCell ref="B45:C45"/>
    <mergeCell ref="B36:C36"/>
    <mergeCell ref="B32:C32"/>
    <mergeCell ref="B26:C26"/>
    <mergeCell ref="B41:C41"/>
    <mergeCell ref="B35:C35"/>
  </mergeCells>
  <pageMargins left="0.708333333333333" right="0.708333333333333" top="0.747916666666667" bottom="0.747916666666667" header="0.511811023622047" footer="0.315277777777778"/>
  <pageSetup orientation="landscape" paperSize="9" scale="26" horizontalDpi="300" verticalDpi="300"/>
  <headerFooter>
    <oddHeader/>
    <oddFooter>&amp;R&amp;P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6"/>
  <sheetViews>
    <sheetView view="pageBreakPreview" zoomScale="70" zoomScaleNormal="70" zoomScaleSheetLayoutView="70" workbookViewId="0">
      <selection activeCell="B14" sqref="B14"/>
    </sheetView>
  </sheetViews>
  <sheetFormatPr baseColWidth="10" defaultColWidth="10" defaultRowHeight="17.25" customHeight="1"/>
  <cols>
    <col collapsed="1" width="11.08984375" customWidth="1" style="770" min="1" max="1"/>
    <col collapsed="1" width="64.6328125" customWidth="1" style="770" min="2" max="2"/>
    <col collapsed="1" width="18.36328125" customWidth="1" style="770" min="3" max="3"/>
    <col collapsed="1" width="15.36328125" customWidth="1" style="770" min="4" max="7"/>
    <col collapsed="1" width="16.26953125" customWidth="1" style="293" min="8" max="8"/>
    <col collapsed="1" width="19.08984375" customWidth="1" style="293" min="9" max="9"/>
    <col collapsed="1" width="20.7265625" customWidth="1" style="293" min="10" max="10"/>
    <col collapsed="1" width="16.26953125" customWidth="1" style="293" min="11" max="12"/>
    <col collapsed="1" width="10.54296875" customWidth="1" style="293" min="13" max="19"/>
    <col collapsed="1" width="10.54296875" customWidth="1" style="770" min="20" max="256"/>
    <col collapsed="1" width="10.81640625" customWidth="1" style="770" min="257" max="1024"/>
    <col collapsed="1" width="10" customWidth="1" style="770" min="1025" max="16384"/>
  </cols>
  <sheetData>
    <row r="1" ht="29.25" customHeight="1" s="885">
      <c r="A1" s="767" t="inlineStr">
        <is>
          <t>EXPOSITIONS AU RISQUE DE CONTREPARTIE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964" t="inlineStr">
        <is>
          <t>EP11</t>
        </is>
      </c>
      <c r="M1" s="770" t="n"/>
      <c r="N1" s="770" t="n"/>
      <c r="O1" s="770" t="n"/>
      <c r="P1" s="770" t="n"/>
      <c r="Q1" s="770" t="n"/>
      <c r="R1" s="770" t="n"/>
      <c r="S1" s="770" t="n"/>
    </row>
    <row r="2" ht="31.5" customHeight="1" s="885">
      <c r="B2" s="295" t="n"/>
      <c r="C2" s="296" t="n"/>
      <c r="D2" s="965" t="n"/>
      <c r="E2" s="966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</row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7.5" customHeight="1" s="885">
      <c r="A7" s="875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2" t="n"/>
      <c r="M7" s="770" t="n"/>
      <c r="N7" s="770" t="n"/>
      <c r="O7" s="770" t="n"/>
      <c r="P7" s="770" t="n"/>
      <c r="Q7" s="770" t="n"/>
      <c r="R7" s="770" t="n"/>
      <c r="S7" s="770" t="n"/>
    </row>
    <row r="8" ht="77.25" customFormat="1" customHeight="1" s="304">
      <c r="A8" s="766" t="inlineStr">
        <is>
          <t>Code DISPRU</t>
        </is>
      </c>
      <c r="B8" s="766" t="inlineStr">
        <is>
          <t>Poste</t>
        </is>
      </c>
      <c r="C8" s="766" t="inlineStr">
        <is>
          <t>Coût de remplacement au prix du marché</t>
        </is>
      </c>
      <c r="D8" s="766" t="inlineStr">
        <is>
          <t>Montant notionnel des contrats</t>
        </is>
      </c>
      <c r="E8" s="766" t="inlineStr">
        <is>
          <t>Pondération affectée au montant notionnel des contrats</t>
        </is>
      </c>
      <c r="F8" s="766" t="inlineStr">
        <is>
          <t xml:space="preserve">Montant notionnel des contrats pondéré        </t>
        </is>
      </c>
      <c r="G8" s="766" t="inlineStr">
        <is>
          <t xml:space="preserve">Expositions </t>
        </is>
      </c>
      <c r="H8" s="768" t="inlineStr">
        <is>
          <t xml:space="preserve">Ventilation des expositions brutes par catégorie </t>
        </is>
      </c>
      <c r="I8" s="894" t="n"/>
      <c r="J8" s="894" t="n"/>
      <c r="K8" s="894" t="n"/>
      <c r="L8" s="895" t="n"/>
      <c r="M8" s="303" t="n"/>
      <c r="N8" s="303" t="n"/>
      <c r="O8" s="303" t="n"/>
      <c r="P8" s="303" t="n"/>
      <c r="Q8" s="303" t="n"/>
      <c r="R8" s="303" t="n"/>
      <c r="S8" s="303" t="n"/>
    </row>
    <row r="9" ht="86.25" customFormat="1" customHeight="1" s="42">
      <c r="A9" s="896" t="n"/>
      <c r="B9" s="896" t="n"/>
      <c r="C9" s="896" t="n"/>
      <c r="D9" s="896" t="n"/>
      <c r="E9" s="896" t="n"/>
      <c r="F9" s="896" t="n"/>
      <c r="G9" s="896" t="n"/>
      <c r="H9" s="766" t="inlineStr">
        <is>
          <t>Souverains</t>
        </is>
      </c>
      <c r="I9" s="766" t="inlineStr">
        <is>
          <t>Organismes publics hors administration  centrale</t>
        </is>
      </c>
      <c r="J9" s="766" t="inlineStr">
        <is>
          <t>Banques Multilatérales de développement</t>
        </is>
      </c>
      <c r="K9" s="766" t="inlineStr">
        <is>
          <t>Institutions financières</t>
        </is>
      </c>
      <c r="L9" s="766" t="inlineStr">
        <is>
          <t>Entreprises</t>
        </is>
      </c>
      <c r="M9" s="305" t="n"/>
      <c r="N9" s="305" t="n"/>
      <c r="O9" s="305" t="n"/>
      <c r="P9" s="305" t="n"/>
      <c r="Q9" s="305" t="n"/>
      <c r="R9" s="305" t="n"/>
      <c r="S9" s="305" t="n"/>
    </row>
    <row r="10" ht="21" customHeight="1" s="885">
      <c r="A10" s="766" t="n"/>
      <c r="B10" s="145" t="n"/>
      <c r="C10" s="766" t="inlineStr">
        <is>
          <t>(a)</t>
        </is>
      </c>
      <c r="D10" s="766" t="inlineStr">
        <is>
          <t>(b)</t>
        </is>
      </c>
      <c r="E10" s="833" t="inlineStr">
        <is>
          <t>(c)</t>
        </is>
      </c>
      <c r="F10" s="766" t="inlineStr">
        <is>
          <t>d=b x c</t>
        </is>
      </c>
      <c r="G10" s="766" t="inlineStr">
        <is>
          <t>e= a + d</t>
        </is>
      </c>
      <c r="H10" s="51" t="n"/>
      <c r="I10" s="51" t="n"/>
      <c r="J10" s="51" t="n"/>
      <c r="K10" s="51" t="n"/>
      <c r="L10" s="51" t="n"/>
    </row>
    <row r="11" ht="24.75" customHeight="1" s="885">
      <c r="A11" s="766" t="n"/>
      <c r="B11" s="869" t="inlineStr">
        <is>
          <t>Engagements sur instruments de taux d'intérêt</t>
        </is>
      </c>
      <c r="C11" s="740" t="n"/>
      <c r="D11" s="740" t="n"/>
      <c r="E11" s="740" t="n"/>
      <c r="F11" s="740" t="n"/>
      <c r="G11" s="740" t="n"/>
      <c r="H11" s="306" t="n"/>
      <c r="I11" s="306" t="n"/>
      <c r="J11" s="306" t="n"/>
      <c r="K11" s="306" t="n"/>
      <c r="L11" s="306" t="n"/>
    </row>
    <row r="12" ht="24.75" customHeight="1" s="885">
      <c r="A12" s="237" t="inlineStr">
        <is>
          <t>RC049</t>
        </is>
      </c>
      <c r="B12" s="869" t="inlineStr">
        <is>
          <t xml:space="preserve">        - Durée &lt; 1 an</t>
        </is>
      </c>
      <c r="C12" s="307" t="n">
        <v>0</v>
      </c>
      <c r="D12" s="307" t="n">
        <v>0</v>
      </c>
      <c r="E12" s="968" t="inlineStr">
        <is>
          <t>0</t>
        </is>
      </c>
      <c r="F12" s="307" t="n">
        <v>0</v>
      </c>
      <c r="G12" s="307" t="n">
        <v>0</v>
      </c>
      <c r="H12" s="307" t="n"/>
      <c r="I12" s="307" t="n"/>
      <c r="J12" s="307" t="n"/>
      <c r="K12" s="307" t="n"/>
      <c r="L12" s="307" t="n"/>
    </row>
    <row r="13" ht="24.75" customHeight="1" s="885">
      <c r="A13" s="237" t="inlineStr">
        <is>
          <t>RC050</t>
        </is>
      </c>
      <c r="B13" s="869" t="inlineStr">
        <is>
          <t xml:space="preserve">        - Durée &gt; 1 an jusqu'à 5 ans</t>
        </is>
      </c>
      <c r="C13" s="307" t="n">
        <v>0</v>
      </c>
      <c r="D13" s="307" t="n">
        <v>0</v>
      </c>
      <c r="E13" s="968" t="inlineStr">
        <is>
          <t>0,5 %</t>
        </is>
      </c>
      <c r="F13" s="307" t="n">
        <v>0</v>
      </c>
      <c r="G13" s="307" t="n">
        <v>0</v>
      </c>
      <c r="H13" s="307" t="n"/>
      <c r="I13" s="307" t="n"/>
      <c r="J13" s="307" t="n"/>
      <c r="K13" s="307" t="n"/>
      <c r="L13" s="307" t="n"/>
    </row>
    <row r="14" ht="24.75" customHeight="1" s="885">
      <c r="A14" s="237" t="inlineStr">
        <is>
          <t>RC051</t>
        </is>
      </c>
      <c r="B14" s="869" t="inlineStr">
        <is>
          <t xml:space="preserve">        - Durée &gt; 5 ans</t>
        </is>
      </c>
      <c r="C14" s="307" t="n">
        <v>0</v>
      </c>
      <c r="D14" s="307" t="n">
        <v>0</v>
      </c>
      <c r="E14" s="968" t="inlineStr">
        <is>
          <t>1,5 %</t>
        </is>
      </c>
      <c r="F14" s="307" t="n">
        <v>0</v>
      </c>
      <c r="G14" s="307" t="n">
        <v>0</v>
      </c>
      <c r="H14" s="307" t="n"/>
      <c r="I14" s="307" t="n"/>
      <c r="J14" s="307" t="n"/>
      <c r="K14" s="307" t="n"/>
      <c r="L14" s="307" t="n"/>
    </row>
    <row r="15" ht="14.25" customHeight="1" s="885">
      <c r="A15" s="766" t="n"/>
      <c r="B15" s="894" t="n"/>
      <c r="C15" s="894" t="n"/>
      <c r="D15" s="894" t="n"/>
      <c r="E15" s="894" t="n"/>
      <c r="F15" s="894" t="n"/>
      <c r="G15" s="894" t="n"/>
      <c r="H15" s="894" t="n"/>
      <c r="I15" s="894" t="n"/>
      <c r="J15" s="894" t="n"/>
      <c r="K15" s="894" t="n"/>
      <c r="L15" s="895" t="n"/>
    </row>
    <row r="16" ht="24.75" customHeight="1" s="885">
      <c r="A16" s="766" t="n"/>
      <c r="B16" s="869" t="inlineStr">
        <is>
          <t>Engagements sur instruments de taux de change et l'or</t>
        </is>
      </c>
      <c r="C16" s="740" t="n"/>
      <c r="D16" s="740" t="n"/>
      <c r="E16" s="740" t="n"/>
      <c r="F16" s="740" t="n"/>
      <c r="G16" s="740" t="n"/>
      <c r="H16" s="306" t="n"/>
      <c r="I16" s="306" t="n"/>
      <c r="J16" s="306" t="n"/>
      <c r="K16" s="306" t="n"/>
      <c r="L16" s="306" t="n"/>
    </row>
    <row r="17" ht="24.75" customHeight="1" s="885">
      <c r="A17" s="237" t="inlineStr">
        <is>
          <t>RC052</t>
        </is>
      </c>
      <c r="B17" s="869" t="inlineStr">
        <is>
          <t xml:space="preserve">        - Durée &lt; 1 an</t>
        </is>
      </c>
      <c r="C17" s="307" t="n">
        <v>0</v>
      </c>
      <c r="D17" s="307" t="n">
        <v>0</v>
      </c>
      <c r="E17" s="968" t="inlineStr">
        <is>
          <t>1%</t>
        </is>
      </c>
      <c r="F17" s="307" t="n">
        <v>0</v>
      </c>
      <c r="G17" s="307" t="n">
        <v>0</v>
      </c>
      <c r="H17" s="307" t="n"/>
      <c r="I17" s="307" t="n"/>
      <c r="J17" s="307" t="n"/>
      <c r="K17" s="307" t="n"/>
      <c r="L17" s="307" t="n"/>
    </row>
    <row r="18" ht="24.75" customHeight="1" s="885">
      <c r="A18" s="237" t="inlineStr">
        <is>
          <t>RC053</t>
        </is>
      </c>
      <c r="B18" s="869" t="inlineStr">
        <is>
          <t xml:space="preserve">        - Durée &gt; 1 an jusqu'à 5 ans</t>
        </is>
      </c>
      <c r="C18" s="307" t="n">
        <v>0</v>
      </c>
      <c r="D18" s="307" t="n">
        <v>0</v>
      </c>
      <c r="E18" s="968" t="inlineStr">
        <is>
          <t>5 %</t>
        </is>
      </c>
      <c r="F18" s="307" t="n">
        <v>0</v>
      </c>
      <c r="G18" s="307" t="n">
        <v>0</v>
      </c>
      <c r="H18" s="307" t="n"/>
      <c r="I18" s="307" t="n"/>
      <c r="J18" s="307" t="n"/>
      <c r="K18" s="307" t="n"/>
      <c r="L18" s="307" t="n"/>
    </row>
    <row r="19" ht="24.75" customHeight="1" s="885">
      <c r="A19" s="237" t="inlineStr">
        <is>
          <t>RC054</t>
        </is>
      </c>
      <c r="B19" s="869" t="inlineStr">
        <is>
          <t xml:space="preserve">        - Durée &gt; 5 ans</t>
        </is>
      </c>
      <c r="C19" s="307" t="n">
        <v>0</v>
      </c>
      <c r="D19" s="307" t="n">
        <v>0</v>
      </c>
      <c r="E19" s="968" t="inlineStr">
        <is>
          <t>7,5 %</t>
        </is>
      </c>
      <c r="F19" s="307" t="n">
        <v>0</v>
      </c>
      <c r="G19" s="307" t="n">
        <v>0</v>
      </c>
      <c r="H19" s="307" t="n"/>
      <c r="I19" s="307" t="n"/>
      <c r="J19" s="307" t="n"/>
      <c r="K19" s="307" t="n"/>
      <c r="L19" s="307" t="n"/>
    </row>
    <row r="20" ht="14.25" customHeight="1" s="885">
      <c r="A20" s="766" t="n"/>
      <c r="B20" s="894" t="n"/>
      <c r="C20" s="894" t="n"/>
      <c r="D20" s="894" t="n"/>
      <c r="E20" s="894" t="n"/>
      <c r="F20" s="894" t="n"/>
      <c r="G20" s="894" t="n"/>
      <c r="H20" s="894" t="n"/>
      <c r="I20" s="894" t="n"/>
      <c r="J20" s="894" t="n"/>
      <c r="K20" s="894" t="n"/>
      <c r="L20" s="895" t="n"/>
    </row>
    <row r="21" ht="24.75" customHeight="1" s="885">
      <c r="A21" s="766" t="n"/>
      <c r="B21" s="869" t="inlineStr">
        <is>
          <t>Engagements sur titres de propriété</t>
        </is>
      </c>
      <c r="C21" s="740" t="n"/>
      <c r="D21" s="740" t="n"/>
      <c r="E21" s="309" t="n"/>
      <c r="F21" s="740" t="n"/>
      <c r="G21" s="740" t="n"/>
      <c r="H21" s="306" t="n"/>
      <c r="I21" s="306" t="n"/>
      <c r="J21" s="306" t="n"/>
      <c r="K21" s="306" t="n"/>
      <c r="L21" s="306" t="n"/>
    </row>
    <row r="22" ht="24.75" customHeight="1" s="885">
      <c r="A22" s="237" t="inlineStr">
        <is>
          <t>RC055</t>
        </is>
      </c>
      <c r="B22" s="869" t="inlineStr">
        <is>
          <t xml:space="preserve">        - Durée &lt; 1 an</t>
        </is>
      </c>
      <c r="C22" s="307" t="n">
        <v>0</v>
      </c>
      <c r="D22" s="307" t="n">
        <v>0</v>
      </c>
      <c r="E22" s="968" t="inlineStr">
        <is>
          <t>6%</t>
        </is>
      </c>
      <c r="F22" s="307" t="n">
        <v>0</v>
      </c>
      <c r="G22" s="307" t="n">
        <v>0</v>
      </c>
      <c r="H22" s="307" t="n"/>
      <c r="I22" s="307" t="n"/>
      <c r="J22" s="307" t="n"/>
      <c r="K22" s="307" t="n"/>
      <c r="L22" s="307" t="n"/>
    </row>
    <row r="23" ht="24.75" customHeight="1" s="885">
      <c r="A23" s="237" t="inlineStr">
        <is>
          <t>RC056</t>
        </is>
      </c>
      <c r="B23" s="869" t="inlineStr">
        <is>
          <t xml:space="preserve">        - Durée &gt; 1 an jusqu'à 5 ans</t>
        </is>
      </c>
      <c r="C23" s="307" t="n">
        <v>0</v>
      </c>
      <c r="D23" s="307" t="n">
        <v>0</v>
      </c>
      <c r="E23" s="968" t="inlineStr">
        <is>
          <t>8%</t>
        </is>
      </c>
      <c r="F23" s="307" t="n">
        <v>0</v>
      </c>
      <c r="G23" s="307" t="n">
        <v>0</v>
      </c>
      <c r="H23" s="307" t="n"/>
      <c r="I23" s="307" t="n"/>
      <c r="J23" s="307" t="n"/>
      <c r="K23" s="307" t="n"/>
      <c r="L23" s="307" t="n"/>
    </row>
    <row r="24" ht="24.75" customHeight="1" s="885">
      <c r="A24" s="237" t="inlineStr">
        <is>
          <t>RC057</t>
        </is>
      </c>
      <c r="B24" s="869" t="inlineStr">
        <is>
          <t xml:space="preserve">        - Durée &gt; 5 ans</t>
        </is>
      </c>
      <c r="C24" s="307" t="n">
        <v>0</v>
      </c>
      <c r="D24" s="307" t="n">
        <v>0</v>
      </c>
      <c r="E24" s="969" t="n">
        <v>0.1</v>
      </c>
      <c r="F24" s="307" t="n">
        <v>0</v>
      </c>
      <c r="G24" s="307" t="n">
        <v>0</v>
      </c>
      <c r="H24" s="307" t="n"/>
      <c r="I24" s="307" t="n"/>
      <c r="J24" s="307" t="n"/>
      <c r="K24" s="307" t="n"/>
      <c r="L24" s="307" t="n"/>
    </row>
    <row r="25" ht="14.25" customHeight="1" s="885">
      <c r="A25" s="766" t="n"/>
      <c r="B25" s="894" t="n"/>
      <c r="C25" s="894" t="n"/>
      <c r="D25" s="894" t="n"/>
      <c r="E25" s="894" t="n"/>
      <c r="F25" s="894" t="n"/>
      <c r="G25" s="894" t="n"/>
      <c r="H25" s="894" t="n"/>
      <c r="I25" s="894" t="n"/>
      <c r="J25" s="894" t="n"/>
      <c r="K25" s="894" t="n"/>
      <c r="L25" s="895" t="n"/>
    </row>
    <row r="26" ht="24.75" customHeight="1" s="885">
      <c r="A26" s="766" t="n"/>
      <c r="B26" s="869" t="inlineStr">
        <is>
          <t>Engagements sur métaux précieux (excepté l'or)</t>
        </is>
      </c>
      <c r="C26" s="740" t="n"/>
      <c r="D26" s="740" t="n"/>
      <c r="E26" s="969" t="n"/>
      <c r="F26" s="740" t="n"/>
      <c r="G26" s="740" t="n"/>
      <c r="H26" s="306" t="n"/>
      <c r="I26" s="306" t="n"/>
      <c r="J26" s="306" t="n"/>
      <c r="K26" s="306" t="n"/>
      <c r="L26" s="306" t="n"/>
    </row>
    <row r="27" ht="24.75" customHeight="1" s="885">
      <c r="A27" s="237" t="inlineStr">
        <is>
          <t>RC058</t>
        </is>
      </c>
      <c r="B27" s="869" t="inlineStr">
        <is>
          <t xml:space="preserve">        - Durée &lt; 1 an</t>
        </is>
      </c>
      <c r="C27" s="307" t="n">
        <v>0</v>
      </c>
      <c r="D27" s="307" t="n">
        <v>0</v>
      </c>
      <c r="E27" s="968" t="inlineStr">
        <is>
          <t>7%</t>
        </is>
      </c>
      <c r="F27" s="307" t="n">
        <v>0</v>
      </c>
      <c r="G27" s="307" t="n">
        <v>0</v>
      </c>
      <c r="H27" s="307" t="n"/>
      <c r="I27" s="307" t="n"/>
      <c r="J27" s="307" t="n"/>
      <c r="K27" s="307" t="n"/>
      <c r="L27" s="307" t="n"/>
    </row>
    <row r="28" ht="24.75" customHeight="1" s="885">
      <c r="A28" s="237" t="inlineStr">
        <is>
          <t>RC059</t>
        </is>
      </c>
      <c r="B28" s="869" t="inlineStr">
        <is>
          <t xml:space="preserve">        - Durée &gt; 1 an jusqu'à 5 ans</t>
        </is>
      </c>
      <c r="C28" s="307" t="n">
        <v>0</v>
      </c>
      <c r="D28" s="307" t="n">
        <v>0</v>
      </c>
      <c r="E28" s="968" t="inlineStr">
        <is>
          <t>7%</t>
        </is>
      </c>
      <c r="F28" s="307" t="n">
        <v>0</v>
      </c>
      <c r="G28" s="307" t="n">
        <v>0</v>
      </c>
      <c r="H28" s="307" t="n"/>
      <c r="I28" s="307" t="n"/>
      <c r="J28" s="307" t="n"/>
      <c r="K28" s="307" t="n"/>
      <c r="L28" s="307" t="n"/>
    </row>
    <row r="29" ht="24.75" customHeight="1" s="885">
      <c r="A29" s="237" t="inlineStr">
        <is>
          <t>RC060</t>
        </is>
      </c>
      <c r="B29" s="869" t="inlineStr">
        <is>
          <t xml:space="preserve">        - Durée &gt; 5 ans</t>
        </is>
      </c>
      <c r="C29" s="307" t="n">
        <v>0</v>
      </c>
      <c r="D29" s="307" t="n">
        <v>0</v>
      </c>
      <c r="E29" s="969" t="n">
        <v>0.08</v>
      </c>
      <c r="F29" s="307" t="n">
        <v>0</v>
      </c>
      <c r="G29" s="307" t="n">
        <v>0</v>
      </c>
      <c r="H29" s="307" t="n"/>
      <c r="I29" s="307" t="n"/>
      <c r="J29" s="307" t="n"/>
      <c r="K29" s="307" t="n"/>
      <c r="L29" s="307" t="n"/>
    </row>
    <row r="30" ht="14.25" customHeight="1" s="885">
      <c r="A30" s="766" t="n"/>
      <c r="B30" s="894" t="n"/>
      <c r="C30" s="894" t="n"/>
      <c r="D30" s="894" t="n"/>
      <c r="E30" s="894" t="n"/>
      <c r="F30" s="894" t="n"/>
      <c r="G30" s="894" t="n"/>
      <c r="H30" s="894" t="n"/>
      <c r="I30" s="894" t="n"/>
      <c r="J30" s="894" t="n"/>
      <c r="K30" s="894" t="n"/>
      <c r="L30" s="895" t="n"/>
    </row>
    <row r="31" ht="24.75" customHeight="1" s="885">
      <c r="A31" s="766" t="n"/>
      <c r="B31" s="869" t="inlineStr">
        <is>
          <t>Engagements sur autres produits de base</t>
        </is>
      </c>
      <c r="C31" s="740" t="n"/>
      <c r="D31" s="740" t="n"/>
      <c r="E31" s="969" t="n"/>
      <c r="F31" s="740" t="n"/>
      <c r="G31" s="740" t="n"/>
      <c r="H31" s="306" t="n"/>
      <c r="I31" s="306" t="n"/>
      <c r="J31" s="306" t="n"/>
      <c r="K31" s="306" t="n"/>
      <c r="L31" s="306" t="n"/>
    </row>
    <row r="32" ht="24.75" customHeight="1" s="885">
      <c r="A32" s="237" t="inlineStr">
        <is>
          <t>RC061</t>
        </is>
      </c>
      <c r="B32" s="869" t="inlineStr">
        <is>
          <t xml:space="preserve">        - Durée &lt; 1 an</t>
        </is>
      </c>
      <c r="C32" s="307" t="n">
        <v>0</v>
      </c>
      <c r="D32" s="307" t="n">
        <v>0</v>
      </c>
      <c r="E32" s="968" t="inlineStr">
        <is>
          <t>10%</t>
        </is>
      </c>
      <c r="F32" s="307" t="n">
        <v>0</v>
      </c>
      <c r="G32" s="307" t="n">
        <v>0</v>
      </c>
      <c r="H32" s="307" t="n"/>
      <c r="I32" s="307" t="n"/>
      <c r="J32" s="307" t="n"/>
      <c r="K32" s="307" t="n"/>
      <c r="L32" s="307" t="n"/>
    </row>
    <row r="33" ht="24.75" customHeight="1" s="885">
      <c r="A33" s="237" t="inlineStr">
        <is>
          <t>RC062</t>
        </is>
      </c>
      <c r="B33" s="869" t="inlineStr">
        <is>
          <t xml:space="preserve">        - Durée &gt; 1 an jusqu'à 5 ans</t>
        </is>
      </c>
      <c r="C33" s="307" t="n">
        <v>0</v>
      </c>
      <c r="D33" s="307" t="n">
        <v>0</v>
      </c>
      <c r="E33" s="968" t="inlineStr">
        <is>
          <t>12%</t>
        </is>
      </c>
      <c r="F33" s="307" t="n">
        <v>0</v>
      </c>
      <c r="G33" s="307" t="n">
        <v>0</v>
      </c>
      <c r="H33" s="307" t="n"/>
      <c r="I33" s="307" t="n"/>
      <c r="J33" s="307" t="n"/>
      <c r="K33" s="307" t="n"/>
      <c r="L33" s="307" t="n"/>
    </row>
    <row r="34" ht="24.75" customHeight="1" s="885">
      <c r="A34" s="237" t="inlineStr">
        <is>
          <t>RC063</t>
        </is>
      </c>
      <c r="B34" s="311" t="inlineStr">
        <is>
          <t xml:space="preserve">        - Durée &gt; 5 ans</t>
        </is>
      </c>
      <c r="C34" s="307" t="n">
        <v>0</v>
      </c>
      <c r="D34" s="307" t="n">
        <v>0</v>
      </c>
      <c r="E34" s="969" t="n">
        <v>0.15</v>
      </c>
      <c r="F34" s="307" t="n">
        <v>0</v>
      </c>
      <c r="G34" s="307" t="n">
        <v>0</v>
      </c>
      <c r="H34" s="307" t="n"/>
      <c r="I34" s="307" t="n"/>
      <c r="J34" s="307" t="n"/>
      <c r="K34" s="307" t="n"/>
      <c r="L34" s="307" t="n"/>
    </row>
    <row r="35" ht="14.25" customHeight="1" s="885">
      <c r="A35" s="766" t="n"/>
      <c r="B35" s="894" t="n"/>
      <c r="C35" s="894" t="n"/>
      <c r="D35" s="894" t="n"/>
      <c r="E35" s="894" t="n"/>
      <c r="F35" s="894" t="n"/>
      <c r="G35" s="894" t="n"/>
      <c r="H35" s="894" t="n"/>
      <c r="I35" s="894" t="n"/>
      <c r="J35" s="894" t="n"/>
      <c r="K35" s="894" t="n"/>
      <c r="L35" s="895" t="n"/>
    </row>
    <row r="36" ht="24.75" customFormat="1" customHeight="1" s="315">
      <c r="A36" s="237" t="inlineStr">
        <is>
          <t>RC064</t>
        </is>
      </c>
      <c r="B36" s="312" t="inlineStr">
        <is>
          <t>TOTAL</t>
        </is>
      </c>
      <c r="C36" s="307" t="n">
        <v>0</v>
      </c>
      <c r="D36" s="307" t="n">
        <v>0</v>
      </c>
      <c r="E36" s="313" t="n"/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307" t="n">
        <v>0</v>
      </c>
      <c r="M36" s="314" t="n"/>
      <c r="N36" s="314" t="n"/>
      <c r="O36" s="314" t="n"/>
      <c r="P36" s="314" t="n"/>
      <c r="Q36" s="314" t="n"/>
      <c r="R36" s="314" t="n"/>
      <c r="S36" s="3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WxdrfiuOxlyqVS1K14mdg==" formatRows="1" sort="1" spinCount="100000" hashValue="9Aaug5dxRYMXAELM8ytAA8wfBulUH+LGK1fVu04+gOUm+TJ062MpmkHXG4yAlWNug0QnH9Yy0kQ0MUYiQJ35fA=="/>
  <mergeCells count="14">
    <mergeCell ref="A20:L20"/>
    <mergeCell ref="A30:L30"/>
    <mergeCell ref="A15:L15"/>
    <mergeCell ref="A8:A9"/>
    <mergeCell ref="E8:E9"/>
    <mergeCell ref="C8:C9"/>
    <mergeCell ref="A25:L25"/>
    <mergeCell ref="F8:F9"/>
    <mergeCell ref="G8:G9"/>
    <mergeCell ref="A1:K1"/>
    <mergeCell ref="D8:D9"/>
    <mergeCell ref="B8:B9"/>
    <mergeCell ref="H8:L8"/>
    <mergeCell ref="A35:L35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topLeftCell="A9" zoomScale="60" zoomScaleNormal="60" workbookViewId="0">
      <selection activeCell="C13" sqref="C13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SOUVERAINS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EP12</t>
        </is>
      </c>
      <c r="K1" s="965" t="n"/>
      <c r="L1" s="965" t="n"/>
    </row>
    <row r="2" ht="31.5" customHeight="1" s="885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A7" s="875" t="n"/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2.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237" t="inlineStr">
        <is>
          <t>RC065</t>
        </is>
      </c>
      <c r="B12" s="971" t="n">
        <v>0</v>
      </c>
      <c r="C12" s="326" t="n"/>
      <c r="D12" s="326" t="n"/>
      <c r="E12" s="326" t="n"/>
      <c r="F12" s="326" t="n"/>
      <c r="G12" s="326" t="n"/>
      <c r="H12" s="326" t="n"/>
      <c r="I12" s="326">
        <f>C12+D12+E12+F12+G12+H12</f>
        <v/>
      </c>
      <c r="J12" s="792" t="n"/>
    </row>
    <row r="13" ht="17.5" customHeight="1" s="885">
      <c r="A13" s="237" t="inlineStr">
        <is>
          <t>RC066</t>
        </is>
      </c>
      <c r="B13" s="971" t="n">
        <v>0.2</v>
      </c>
      <c r="C13" s="326" t="n"/>
      <c r="D13" s="326" t="n"/>
      <c r="E13" s="326" t="n"/>
      <c r="F13" s="326" t="n"/>
      <c r="G13" s="326" t="n"/>
      <c r="H13" s="326" t="n"/>
      <c r="I13" s="326">
        <f>C13+D13+E13+F13+G13+H13</f>
        <v/>
      </c>
      <c r="J13" s="326">
        <f>I13*B13</f>
        <v/>
      </c>
    </row>
    <row r="14" ht="17.5" customHeight="1" s="885">
      <c r="A14" s="237" t="inlineStr">
        <is>
          <t>RC067</t>
        </is>
      </c>
      <c r="B14" s="971" t="n">
        <v>0.5</v>
      </c>
      <c r="C14" s="326" t="n"/>
      <c r="D14" s="326" t="n"/>
      <c r="E14" s="326" t="n"/>
      <c r="F14" s="326" t="n"/>
      <c r="G14" s="326" t="n"/>
      <c r="H14" s="326" t="n"/>
      <c r="I14" s="326">
        <f>C14+D14+E14+F14+G14+H14</f>
        <v/>
      </c>
      <c r="J14" s="326">
        <f>I14*B14</f>
        <v/>
      </c>
    </row>
    <row r="15" ht="17.5" customHeight="1" s="885">
      <c r="A15" s="237" t="inlineStr">
        <is>
          <t>RC068</t>
        </is>
      </c>
      <c r="B15" s="971" t="n">
        <v>1</v>
      </c>
      <c r="C15" s="326" t="n"/>
      <c r="D15" s="326" t="n"/>
      <c r="E15" s="326" t="n"/>
      <c r="F15" s="326" t="n"/>
      <c r="G15" s="326" t="n"/>
      <c r="H15" s="326" t="n"/>
      <c r="I15" s="326">
        <f>C15+D15+E15+F15+G15+H15</f>
        <v/>
      </c>
      <c r="J15" s="326">
        <f>I15*B15</f>
        <v/>
      </c>
    </row>
    <row r="16" ht="17.5" customHeight="1" s="885">
      <c r="A16" s="237" t="inlineStr">
        <is>
          <t>RC069</t>
        </is>
      </c>
      <c r="B16" s="971" t="n">
        <v>1.5</v>
      </c>
      <c r="C16" s="326" t="n"/>
      <c r="D16" s="326" t="n"/>
      <c r="E16" s="326" t="n"/>
      <c r="F16" s="326" t="n"/>
      <c r="G16" s="326" t="n"/>
      <c r="H16" s="326" t="n"/>
      <c r="I16" s="326">
        <f>C16+D16+E16+F16+G16+H16</f>
        <v/>
      </c>
      <c r="J16" s="326">
        <f>I16*B16</f>
        <v/>
      </c>
    </row>
    <row r="17" ht="18" customFormat="1" customHeight="1" s="315">
      <c r="A17" s="237" t="inlineStr">
        <is>
          <t>RC070</t>
        </is>
      </c>
      <c r="B17" s="328" t="inlineStr">
        <is>
          <t>Total</t>
        </is>
      </c>
      <c r="C17" s="329">
        <f>C12+C13+C14+C15+C16</f>
        <v/>
      </c>
      <c r="D17" s="329">
        <f>D12+D13+D14+D15+D16</f>
        <v/>
      </c>
      <c r="E17" s="329">
        <f>E12+E13+E14+E15+E16</f>
        <v/>
      </c>
      <c r="F17" s="329">
        <f>F12+F13+F14+F15+F16</f>
        <v/>
      </c>
      <c r="G17" s="329">
        <f>G12+G13+G14+G15+G16</f>
        <v/>
      </c>
      <c r="H17" s="329">
        <f>H12+H13+H14+H15+H16</f>
        <v/>
      </c>
      <c r="I17" s="329">
        <f>I12+I13+I14+I15+I16</f>
        <v/>
      </c>
      <c r="J17" s="329">
        <f>J12+J13+J14+J15+J16</f>
        <v/>
      </c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RC071</t>
        </is>
      </c>
      <c r="B20" s="971" t="n">
        <v>0</v>
      </c>
      <c r="C20" s="326" t="n"/>
      <c r="D20" s="326" t="n"/>
      <c r="E20" s="326" t="n"/>
      <c r="F20" s="326" t="n"/>
      <c r="G20" s="326" t="n"/>
      <c r="H20" s="326" t="n"/>
      <c r="I20" s="326" t="n"/>
      <c r="J20" s="792" t="n"/>
    </row>
    <row r="21" ht="17.5" customHeight="1" s="885">
      <c r="A21" s="869" t="inlineStr">
        <is>
          <t>RC072</t>
        </is>
      </c>
      <c r="B21" s="971" t="n">
        <v>0.2</v>
      </c>
      <c r="C21" s="326" t="n"/>
      <c r="D21" s="326" t="n"/>
      <c r="E21" s="326" t="n"/>
      <c r="F21" s="326" t="n"/>
      <c r="G21" s="326" t="n"/>
      <c r="H21" s="326" t="n"/>
      <c r="I21" s="326" t="n"/>
      <c r="J21" s="326" t="n"/>
    </row>
    <row r="22" ht="17.5" customHeight="1" s="885">
      <c r="A22" s="869" t="inlineStr">
        <is>
          <t>RC073</t>
        </is>
      </c>
      <c r="B22" s="971" t="n">
        <v>0.5</v>
      </c>
      <c r="C22" s="326" t="n"/>
      <c r="D22" s="326" t="n"/>
      <c r="E22" s="326" t="n"/>
      <c r="F22" s="326" t="n"/>
      <c r="G22" s="326" t="n"/>
      <c r="H22" s="326" t="n"/>
      <c r="I22" s="326" t="n"/>
      <c r="J22" s="326" t="n"/>
    </row>
    <row r="23" ht="17.5" customHeight="1" s="885">
      <c r="A23" s="869" t="inlineStr">
        <is>
          <t>RC074</t>
        </is>
      </c>
      <c r="B23" s="971" t="n">
        <v>1</v>
      </c>
      <c r="C23" s="326" t="n"/>
      <c r="D23" s="326" t="n"/>
      <c r="E23" s="326" t="n"/>
      <c r="F23" s="326" t="n"/>
      <c r="G23" s="326" t="n"/>
      <c r="H23" s="326" t="n"/>
      <c r="I23" s="326" t="n"/>
      <c r="J23" s="326" t="n"/>
    </row>
    <row r="24" ht="17.5" customHeight="1" s="885">
      <c r="A24" s="869" t="inlineStr">
        <is>
          <t>RC075</t>
        </is>
      </c>
      <c r="B24" s="971" t="n">
        <v>1.5</v>
      </c>
      <c r="C24" s="326" t="n"/>
      <c r="D24" s="326" t="n"/>
      <c r="E24" s="326" t="n"/>
      <c r="F24" s="326" t="n"/>
      <c r="G24" s="326" t="n"/>
      <c r="H24" s="326" t="n"/>
      <c r="I24" s="326" t="n"/>
      <c r="J24" s="326" t="n"/>
    </row>
    <row r="25" ht="18" customFormat="1" customHeight="1" s="315">
      <c r="A25" s="869" t="inlineStr">
        <is>
          <t>RC076</t>
        </is>
      </c>
      <c r="B25" s="332" t="inlineStr">
        <is>
          <t>Total</t>
        </is>
      </c>
      <c r="C25" s="329" t="n"/>
      <c r="D25" s="329" t="n"/>
      <c r="E25" s="329" t="n"/>
      <c r="F25" s="329" t="n"/>
      <c r="G25" s="329" t="n"/>
      <c r="H25" s="329" t="n"/>
      <c r="I25" s="329" t="n"/>
      <c r="J25" s="329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RC077</t>
        </is>
      </c>
      <c r="B28" s="972" t="n">
        <v>0</v>
      </c>
      <c r="C28" s="326" t="n"/>
      <c r="D28" s="326" t="n"/>
      <c r="E28" s="326" t="n"/>
      <c r="F28" s="326" t="n"/>
      <c r="G28" s="326" t="n"/>
      <c r="H28" s="326" t="n"/>
      <c r="I28" s="326" t="n"/>
      <c r="J28" s="334" t="n"/>
    </row>
    <row r="29" ht="17.5" customHeight="1" s="885">
      <c r="A29" s="869" t="inlineStr">
        <is>
          <t>RC078</t>
        </is>
      </c>
      <c r="B29" s="971" t="n">
        <v>0.2</v>
      </c>
      <c r="C29" s="326" t="n"/>
      <c r="D29" s="326" t="n"/>
      <c r="E29" s="326" t="n"/>
      <c r="F29" s="326" t="n"/>
      <c r="G29" s="326" t="n"/>
      <c r="H29" s="326" t="n"/>
      <c r="I29" s="326" t="n"/>
      <c r="J29" s="326" t="n"/>
    </row>
    <row r="30" ht="17.5" customHeight="1" s="885">
      <c r="A30" s="869" t="inlineStr">
        <is>
          <t>RC079</t>
        </is>
      </c>
      <c r="B30" s="971" t="n">
        <v>0.5</v>
      </c>
      <c r="C30" s="326" t="n"/>
      <c r="D30" s="326" t="n"/>
      <c r="E30" s="326" t="n"/>
      <c r="F30" s="326" t="n"/>
      <c r="G30" s="326" t="n"/>
      <c r="H30" s="326" t="n"/>
      <c r="I30" s="326" t="n"/>
      <c r="J30" s="326" t="n"/>
    </row>
    <row r="31" ht="17.5" customHeight="1" s="885">
      <c r="A31" s="869" t="inlineStr">
        <is>
          <t>RC080</t>
        </is>
      </c>
      <c r="B31" s="971" t="n">
        <v>1</v>
      </c>
      <c r="C31" s="326" t="n"/>
      <c r="D31" s="326" t="n"/>
      <c r="E31" s="326" t="n"/>
      <c r="F31" s="326" t="n"/>
      <c r="G31" s="326" t="n"/>
      <c r="H31" s="326" t="n"/>
      <c r="I31" s="326" t="n"/>
      <c r="J31" s="326" t="n"/>
    </row>
    <row r="32" ht="17.5" customHeight="1" s="885">
      <c r="A32" s="869" t="inlineStr">
        <is>
          <t>RC081</t>
        </is>
      </c>
      <c r="B32" s="971" t="n">
        <v>1.5</v>
      </c>
      <c r="C32" s="326" t="n"/>
      <c r="D32" s="326" t="n"/>
      <c r="E32" s="326" t="n"/>
      <c r="F32" s="326" t="n"/>
      <c r="G32" s="326" t="n"/>
      <c r="H32" s="326" t="n"/>
      <c r="I32" s="326" t="n"/>
      <c r="J32" s="326" t="n"/>
    </row>
    <row r="33" ht="18" customFormat="1" customHeight="1" s="315">
      <c r="A33" s="869" t="inlineStr">
        <is>
          <t>RC082</t>
        </is>
      </c>
      <c r="B33" s="335" t="inlineStr">
        <is>
          <t>Total</t>
        </is>
      </c>
      <c r="C33" s="329" t="n"/>
      <c r="D33" s="329" t="n"/>
      <c r="E33" s="329" t="n"/>
      <c r="F33" s="329" t="n"/>
      <c r="G33" s="329" t="n"/>
      <c r="H33" s="329" t="n"/>
      <c r="I33" s="329" t="n"/>
      <c r="J33" s="329" t="n"/>
    </row>
    <row r="34" ht="9" customHeight="1" s="885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Height="1" s="885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869" t="inlineStr">
        <is>
          <t>RC083</t>
        </is>
      </c>
      <c r="B36" s="971" t="n">
        <v>0</v>
      </c>
      <c r="C36" s="326" t="n"/>
      <c r="D36" s="326" t="n"/>
      <c r="E36" s="326" t="n"/>
      <c r="F36" s="326" t="n"/>
      <c r="G36" s="326" t="n"/>
      <c r="H36" s="326" t="n"/>
      <c r="I36" s="326" t="n"/>
      <c r="J36" s="792" t="n"/>
    </row>
    <row r="37" ht="17.5" customHeight="1" s="885">
      <c r="A37" s="869" t="inlineStr">
        <is>
          <t>RC084</t>
        </is>
      </c>
      <c r="B37" s="971" t="n">
        <v>0.2</v>
      </c>
      <c r="C37" s="326" t="n"/>
      <c r="D37" s="326" t="n"/>
      <c r="E37" s="326" t="n"/>
      <c r="F37" s="326" t="n"/>
      <c r="G37" s="326" t="n"/>
      <c r="H37" s="326" t="n"/>
      <c r="I37" s="326" t="n"/>
      <c r="J37" s="326" t="n"/>
    </row>
    <row r="38" ht="18" customHeight="1" s="885">
      <c r="A38" s="869" t="inlineStr">
        <is>
          <t>RC085</t>
        </is>
      </c>
      <c r="B38" s="971" t="n">
        <v>0.5</v>
      </c>
      <c r="C38" s="326" t="n"/>
      <c r="D38" s="326" t="n"/>
      <c r="E38" s="326" t="n"/>
      <c r="F38" s="326" t="n"/>
      <c r="G38" s="326" t="n"/>
      <c r="H38" s="326" t="n"/>
      <c r="I38" s="326" t="n"/>
      <c r="J38" s="329" t="n"/>
    </row>
    <row r="39" ht="17.5" customHeight="1" s="885">
      <c r="A39" s="869" t="inlineStr">
        <is>
          <t>RC086</t>
        </is>
      </c>
      <c r="B39" s="971" t="n">
        <v>1</v>
      </c>
      <c r="C39" s="326" t="n"/>
      <c r="D39" s="326" t="n"/>
      <c r="E39" s="326" t="n"/>
      <c r="F39" s="326" t="n"/>
      <c r="G39" s="326" t="n"/>
      <c r="H39" s="326" t="n"/>
      <c r="I39" s="326" t="n"/>
      <c r="J39" s="326" t="n"/>
    </row>
    <row r="40" ht="18" customHeight="1" s="885">
      <c r="A40" s="869" t="inlineStr">
        <is>
          <t>RC087</t>
        </is>
      </c>
      <c r="B40" s="971" t="n">
        <v>1.5</v>
      </c>
      <c r="C40" s="326" t="n"/>
      <c r="D40" s="326" t="n"/>
      <c r="E40" s="326" t="n"/>
      <c r="F40" s="326" t="n"/>
      <c r="G40" s="326" t="n"/>
      <c r="H40" s="326" t="n"/>
      <c r="I40" s="326" t="n"/>
      <c r="J40" s="329" t="n"/>
    </row>
    <row r="41" ht="18" customHeight="1" s="885">
      <c r="A41" s="869" t="inlineStr">
        <is>
          <t>RC088</t>
        </is>
      </c>
      <c r="B41" s="335" t="inlineStr">
        <is>
          <t>Total</t>
        </is>
      </c>
      <c r="C41" s="329" t="n"/>
      <c r="D41" s="329" t="n"/>
      <c r="E41" s="329" t="n"/>
      <c r="F41" s="329" t="n"/>
      <c r="G41" s="329" t="n"/>
      <c r="H41" s="329" t="n"/>
      <c r="I41" s="329" t="n"/>
      <c r="J41" s="326" t="n"/>
    </row>
    <row r="42" ht="9" customHeight="1" s="885">
      <c r="A42" s="769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RC089</t>
        </is>
      </c>
      <c r="B43" s="336" t="inlineStr">
        <is>
          <t>TOTAL EXPOSITIONS SUR LES SOUVERAINS</t>
        </is>
      </c>
      <c r="C43" s="329">
        <f>C17+C25+C33+C41</f>
        <v/>
      </c>
      <c r="D43" s="329">
        <f>D17+D25+D33+D41</f>
        <v/>
      </c>
      <c r="E43" s="329">
        <f>E17+E25+E33+E41</f>
        <v/>
      </c>
      <c r="F43" s="329">
        <f>F17+F25+F33+F41</f>
        <v/>
      </c>
      <c r="G43" s="329">
        <f>G17+G25+G33+G41</f>
        <v/>
      </c>
      <c r="H43" s="329">
        <f>H17+H25+H33+H41</f>
        <v/>
      </c>
      <c r="I43" s="329">
        <f>I17+I25+I33+I41</f>
        <v/>
      </c>
      <c r="J43" s="329">
        <f>J17+J25+J33+J41</f>
        <v/>
      </c>
    </row>
    <row r="44" ht="9" customHeight="1" s="885">
      <c r="B44" s="770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L4CNdHvI6zgv1urtjp79Q==" formatRows="1" sort="1" spinCount="100000" hashValue="Tv1YFkAgaw+CKzc7Gf58z5frxk+BOY6xVpjm0kzq22DKWL9rRnng6v2IeORE7RoutQo68CT5iNras2E13Up7ng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K44"/>
  <sheetViews>
    <sheetView view="pageBreakPreview" topLeftCell="A4" zoomScale="60" zoomScaleNormal="60" workbookViewId="0">
      <selection activeCell="C14" sqref="C14"/>
    </sheetView>
  </sheetViews>
  <sheetFormatPr baseColWidth="10" defaultColWidth="10" defaultRowHeight="9" customHeight="1"/>
  <cols>
    <col collapsed="1" width="11.08984375" customWidth="1" style="777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025"/>
    <col collapsed="1" width="10" customWidth="1" style="777" min="1026" max="16384"/>
  </cols>
  <sheetData>
    <row r="1" ht="29.25" customHeight="1" s="885">
      <c r="B1" s="778" t="inlineStr">
        <is>
          <t xml:space="preserve">RISQUE DE CREDIT : EXPOSITIONS SUR LES ORGANISMES PUBLICS HORS ADMINISTRATION CENTRALE (OP)  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EP13</t>
        </is>
      </c>
      <c r="K1" s="965" t="n"/>
      <c r="L1" s="965" t="n"/>
    </row>
    <row r="2" ht="31.5" customHeight="1" s="885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A7" s="338" t="n"/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0.25" customHeight="1" s="885">
      <c r="A8" s="779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33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33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339" t="inlineStr">
        <is>
          <t>RC090</t>
        </is>
      </c>
      <c r="B12" s="971" t="n">
        <v>0</v>
      </c>
      <c r="C12" s="792" t="n"/>
      <c r="D12" s="340" t="n"/>
      <c r="E12" s="340" t="n"/>
      <c r="F12" s="340" t="n"/>
      <c r="G12" s="340" t="n"/>
      <c r="H12" s="340" t="n"/>
      <c r="I12" s="340">
        <f>C12+D12+E12+F12+G12+H12</f>
        <v/>
      </c>
      <c r="J12" s="792" t="n"/>
    </row>
    <row r="13" ht="17.5" customHeight="1" s="885">
      <c r="A13" s="339" t="inlineStr">
        <is>
          <t>RC091</t>
        </is>
      </c>
      <c r="B13" s="971" t="n">
        <v>0.2</v>
      </c>
      <c r="C13" s="340" t="n"/>
      <c r="D13" s="340" t="n"/>
      <c r="E13" s="340" t="n"/>
      <c r="F13" s="340" t="n"/>
      <c r="G13" s="340" t="n"/>
      <c r="H13" s="340" t="n"/>
      <c r="I13" s="340">
        <f>C13+D13+E13+F13+G13+H13</f>
        <v/>
      </c>
      <c r="J13" s="340">
        <f>I13*B13</f>
        <v/>
      </c>
    </row>
    <row r="14" ht="17.5" customHeight="1" s="885">
      <c r="A14" s="339" t="inlineStr">
        <is>
          <t>RC092</t>
        </is>
      </c>
      <c r="B14" s="971" t="n">
        <v>0.5</v>
      </c>
      <c r="C14" s="340" t="n"/>
      <c r="D14" s="340" t="n"/>
      <c r="E14" s="340" t="n"/>
      <c r="F14" s="340" t="n"/>
      <c r="G14" s="340" t="n"/>
      <c r="H14" s="340" t="n"/>
      <c r="I14" s="340">
        <f>C14+D14+E14+F14+G14+H14</f>
        <v/>
      </c>
      <c r="J14" s="340">
        <f>I14*B14</f>
        <v/>
      </c>
    </row>
    <row r="15" ht="17.5" customHeight="1" s="885">
      <c r="A15" s="339" t="inlineStr">
        <is>
          <t>RC093</t>
        </is>
      </c>
      <c r="B15" s="971" t="n">
        <v>1</v>
      </c>
      <c r="C15" s="340" t="n"/>
      <c r="D15" s="340" t="n"/>
      <c r="E15" s="340" t="n"/>
      <c r="F15" s="340" t="n"/>
      <c r="G15" s="340" t="n"/>
      <c r="H15" s="340" t="n"/>
      <c r="I15" s="340">
        <f>C15+D15+E15+F15+G15+H15</f>
        <v/>
      </c>
      <c r="J15" s="340">
        <f>I15*B15</f>
        <v/>
      </c>
    </row>
    <row r="16" ht="17.5" customHeight="1" s="885">
      <c r="A16" s="339" t="inlineStr">
        <is>
          <t>RC094</t>
        </is>
      </c>
      <c r="B16" s="971" t="n">
        <v>1.5</v>
      </c>
      <c r="C16" s="340" t="n"/>
      <c r="D16" s="340" t="n"/>
      <c r="E16" s="340" t="n"/>
      <c r="F16" s="340" t="n"/>
      <c r="G16" s="340" t="n"/>
      <c r="H16" s="340" t="n"/>
      <c r="I16" s="340">
        <f>C16+D16+E16+F16+G16+H16</f>
        <v/>
      </c>
      <c r="J16" s="340">
        <f>I16*B16</f>
        <v/>
      </c>
    </row>
    <row r="17" ht="18" customFormat="1" customHeight="1" s="315">
      <c r="A17" s="339" t="inlineStr">
        <is>
          <t>RC095</t>
        </is>
      </c>
      <c r="B17" s="328" t="inlineStr">
        <is>
          <t>Total</t>
        </is>
      </c>
      <c r="C17" s="341">
        <f>C12+C13+C14+C15+C16</f>
        <v/>
      </c>
      <c r="D17" s="341">
        <f>D12+D13+D14+D15+D16</f>
        <v/>
      </c>
      <c r="E17" s="341">
        <f>E12+E13+E14+E15+E16</f>
        <v/>
      </c>
      <c r="F17" s="341">
        <f>F12+F13+F14+F15+F16</f>
        <v/>
      </c>
      <c r="G17" s="341">
        <f>G12+G13+G14+G15+G16</f>
        <v/>
      </c>
      <c r="H17" s="341">
        <f>H12+H13+H14+H15+H16</f>
        <v/>
      </c>
      <c r="I17" s="341">
        <f>I12+I13+I14+I15+I16</f>
        <v/>
      </c>
      <c r="J17" s="341">
        <f>J12+J13+J14+J15+J16</f>
        <v/>
      </c>
    </row>
    <row r="18" ht="9" customFormat="1" customHeight="1" s="770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Format="1" customHeight="1" s="770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339" t="inlineStr">
        <is>
          <t>RC096</t>
        </is>
      </c>
      <c r="B20" s="971" t="n">
        <v>0</v>
      </c>
      <c r="C20" s="792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339" t="inlineStr">
        <is>
          <t>RC097</t>
        </is>
      </c>
      <c r="B21" s="971" t="n">
        <v>0.2</v>
      </c>
      <c r="C21" s="340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339" t="inlineStr">
        <is>
          <t>RC098</t>
        </is>
      </c>
      <c r="B22" s="971" t="n">
        <v>0.5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339" t="inlineStr">
        <is>
          <t>RC099</t>
        </is>
      </c>
      <c r="B23" s="971" t="n">
        <v>1</v>
      </c>
      <c r="C23" s="340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339" t="inlineStr">
        <is>
          <t>RC100</t>
        </is>
      </c>
      <c r="B24" s="971" t="n">
        <v>1.5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Format="1" customHeight="1" s="342">
      <c r="A25" s="339" t="inlineStr">
        <is>
          <t>RC101</t>
        </is>
      </c>
      <c r="B25" s="335" t="inlineStr">
        <is>
          <t>Total</t>
        </is>
      </c>
      <c r="C25" s="341" t="n"/>
      <c r="D25" s="341" t="n"/>
      <c r="E25" s="341" t="n"/>
      <c r="F25" s="341" t="n"/>
      <c r="G25" s="341" t="n"/>
      <c r="H25" s="341" t="n"/>
      <c r="I25" s="341" t="n"/>
      <c r="J25" s="341" t="n"/>
      <c r="K25" s="315" t="n"/>
      <c r="L25" s="315" t="n"/>
      <c r="M25" s="315" t="n"/>
      <c r="N25" s="315" t="n"/>
      <c r="O25" s="315" t="n"/>
      <c r="P25" s="315" t="n"/>
      <c r="Q25" s="315" t="n"/>
      <c r="R25" s="315" t="n"/>
      <c r="S25" s="315" t="n"/>
      <c r="T25" s="315" t="n"/>
      <c r="U25" s="315" t="n"/>
      <c r="V25" s="315" t="n"/>
      <c r="W25" s="315" t="n"/>
      <c r="X25" s="315" t="n"/>
      <c r="Y25" s="315" t="n"/>
      <c r="Z25" s="315" t="n"/>
      <c r="AA25" s="315" t="n"/>
      <c r="AB25" s="315" t="n"/>
      <c r="AC25" s="315" t="n"/>
      <c r="AD25" s="315" t="n"/>
      <c r="AE25" s="315" t="n"/>
      <c r="AF25" s="315" t="n"/>
      <c r="AG25" s="315" t="n"/>
      <c r="AH25" s="315" t="n"/>
      <c r="AI25" s="315" t="n"/>
      <c r="AJ25" s="315" t="n"/>
      <c r="AK25" s="315" t="n"/>
      <c r="AL25" s="315" t="n"/>
      <c r="AM25" s="315" t="n"/>
      <c r="AN25" s="315" t="n"/>
      <c r="AO25" s="315" t="n"/>
      <c r="AP25" s="315" t="n"/>
      <c r="AQ25" s="315" t="n"/>
      <c r="AR25" s="315" t="n"/>
      <c r="AS25" s="315" t="n"/>
      <c r="AT25" s="315" t="n"/>
      <c r="AU25" s="315" t="n"/>
      <c r="AV25" s="315" t="n"/>
      <c r="AW25" s="315" t="n"/>
      <c r="AX25" s="315" t="n"/>
      <c r="AY25" s="315" t="n"/>
      <c r="AZ25" s="315" t="n"/>
      <c r="BA25" s="315" t="n"/>
      <c r="BB25" s="315" t="n"/>
      <c r="BC25" s="315" t="n"/>
      <c r="BD25" s="315" t="n"/>
      <c r="BE25" s="315" t="n"/>
      <c r="BF25" s="315" t="n"/>
      <c r="BG25" s="315" t="n"/>
      <c r="BH25" s="315" t="n"/>
      <c r="BI25" s="315" t="n"/>
      <c r="BJ25" s="315" t="n"/>
      <c r="BK25" s="315" t="n"/>
      <c r="BL25" s="315" t="n"/>
      <c r="BM25" s="315" t="n"/>
      <c r="BN25" s="315" t="n"/>
      <c r="BO25" s="315" t="n"/>
      <c r="BP25" s="315" t="n"/>
      <c r="BQ25" s="315" t="n"/>
      <c r="BR25" s="315" t="n"/>
      <c r="BS25" s="315" t="n"/>
      <c r="BT25" s="315" t="n"/>
      <c r="BU25" s="315" t="n"/>
      <c r="BV25" s="315" t="n"/>
      <c r="BW25" s="315" t="n"/>
      <c r="BX25" s="315" t="n"/>
      <c r="BY25" s="315" t="n"/>
      <c r="BZ25" s="315" t="n"/>
      <c r="CA25" s="315" t="n"/>
      <c r="CB25" s="315" t="n"/>
      <c r="CC25" s="315" t="n"/>
      <c r="CD25" s="315" t="n"/>
      <c r="CE25" s="315" t="n"/>
      <c r="CF25" s="315" t="n"/>
      <c r="CG25" s="315" t="n"/>
      <c r="CH25" s="315" t="n"/>
      <c r="CI25" s="315" t="n"/>
      <c r="CJ25" s="315" t="n"/>
      <c r="CK25" s="315" t="n"/>
      <c r="CL25" s="315" t="n"/>
      <c r="CM25" s="315" t="n"/>
      <c r="CN25" s="315" t="n"/>
      <c r="CO25" s="315" t="n"/>
      <c r="CP25" s="315" t="n"/>
      <c r="CQ25" s="315" t="n"/>
      <c r="CR25" s="315" t="n"/>
      <c r="CS25" s="315" t="n"/>
      <c r="CT25" s="315" t="n"/>
      <c r="CU25" s="315" t="n"/>
      <c r="CV25" s="315" t="n"/>
      <c r="CW25" s="315" t="n"/>
      <c r="CX25" s="315" t="n"/>
      <c r="CY25" s="315" t="n"/>
      <c r="CZ25" s="315" t="n"/>
      <c r="DA25" s="315" t="n"/>
      <c r="DB25" s="315" t="n"/>
      <c r="DC25" s="315" t="n"/>
      <c r="DD25" s="315" t="n"/>
      <c r="DE25" s="315" t="n"/>
      <c r="DF25" s="315" t="n"/>
      <c r="DG25" s="315" t="n"/>
      <c r="DH25" s="315" t="n"/>
      <c r="DI25" s="315" t="n"/>
      <c r="DJ25" s="315" t="n"/>
      <c r="DK25" s="315" t="n"/>
      <c r="DL25" s="315" t="n"/>
      <c r="DM25" s="315" t="n"/>
      <c r="DN25" s="315" t="n"/>
      <c r="DO25" s="315" t="n"/>
      <c r="DP25" s="315" t="n"/>
      <c r="DQ25" s="315" t="n"/>
      <c r="DR25" s="315" t="n"/>
      <c r="DS25" s="315" t="n"/>
      <c r="DT25" s="315" t="n"/>
      <c r="DU25" s="315" t="n"/>
      <c r="DV25" s="315" t="n"/>
      <c r="DW25" s="315" t="n"/>
      <c r="DX25" s="315" t="n"/>
      <c r="DY25" s="315" t="n"/>
      <c r="DZ25" s="315" t="n"/>
      <c r="EA25" s="315" t="n"/>
      <c r="EB25" s="315" t="n"/>
      <c r="EC25" s="315" t="n"/>
      <c r="ED25" s="315" t="n"/>
      <c r="EE25" s="315" t="n"/>
      <c r="EF25" s="315" t="n"/>
      <c r="EG25" s="315" t="n"/>
      <c r="EH25" s="315" t="n"/>
      <c r="EI25" s="315" t="n"/>
      <c r="EJ25" s="315" t="n"/>
      <c r="EK25" s="315" t="n"/>
      <c r="EL25" s="315" t="n"/>
      <c r="EM25" s="315" t="n"/>
      <c r="EN25" s="315" t="n"/>
      <c r="EO25" s="315" t="n"/>
      <c r="EP25" s="315" t="n"/>
      <c r="EQ25" s="315" t="n"/>
      <c r="ER25" s="315" t="n"/>
      <c r="ES25" s="315" t="n"/>
      <c r="ET25" s="315" t="n"/>
      <c r="EU25" s="315" t="n"/>
      <c r="EV25" s="315" t="n"/>
      <c r="EW25" s="315" t="n"/>
      <c r="EX25" s="315" t="n"/>
      <c r="EY25" s="315" t="n"/>
      <c r="EZ25" s="315" t="n"/>
      <c r="FA25" s="315" t="n"/>
      <c r="FB25" s="315" t="n"/>
      <c r="FC25" s="315" t="n"/>
      <c r="FD25" s="315" t="n"/>
      <c r="FE25" s="315" t="n"/>
      <c r="FF25" s="315" t="n"/>
      <c r="FG25" s="315" t="n"/>
      <c r="FH25" s="315" t="n"/>
      <c r="FI25" s="315" t="n"/>
      <c r="FJ25" s="315" t="n"/>
      <c r="FK25" s="315" t="n"/>
      <c r="FL25" s="315" t="n"/>
      <c r="FM25" s="315" t="n"/>
      <c r="FN25" s="315" t="n"/>
      <c r="FO25" s="315" t="n"/>
      <c r="FP25" s="315" t="n"/>
      <c r="FQ25" s="315" t="n"/>
      <c r="FR25" s="315" t="n"/>
      <c r="FS25" s="315" t="n"/>
      <c r="FT25" s="315" t="n"/>
      <c r="FU25" s="315" t="n"/>
      <c r="FV25" s="315" t="n"/>
      <c r="FW25" s="315" t="n"/>
      <c r="FX25" s="315" t="n"/>
      <c r="FY25" s="315" t="n"/>
      <c r="FZ25" s="315" t="n"/>
      <c r="GA25" s="315" t="n"/>
      <c r="GB25" s="315" t="n"/>
      <c r="GC25" s="315" t="n"/>
      <c r="GD25" s="315" t="n"/>
      <c r="GE25" s="315" t="n"/>
      <c r="GF25" s="315" t="n"/>
      <c r="GG25" s="315" t="n"/>
      <c r="GH25" s="315" t="n"/>
      <c r="GI25" s="315" t="n"/>
      <c r="GJ25" s="315" t="n"/>
      <c r="GK25" s="315" t="n"/>
      <c r="GL25" s="315" t="n"/>
      <c r="GM25" s="315" t="n"/>
      <c r="GN25" s="315" t="n"/>
      <c r="GO25" s="315" t="n"/>
      <c r="GP25" s="315" t="n"/>
      <c r="GQ25" s="315" t="n"/>
      <c r="GR25" s="315" t="n"/>
      <c r="GS25" s="315" t="n"/>
      <c r="GT25" s="315" t="n"/>
      <c r="GU25" s="315" t="n"/>
      <c r="GV25" s="315" t="n"/>
      <c r="GW25" s="315" t="n"/>
      <c r="GX25" s="315" t="n"/>
      <c r="GY25" s="315" t="n"/>
      <c r="GZ25" s="315" t="n"/>
      <c r="HA25" s="315" t="n"/>
      <c r="HB25" s="315" t="n"/>
      <c r="HC25" s="315" t="n"/>
      <c r="HD25" s="315" t="n"/>
      <c r="HE25" s="315" t="n"/>
      <c r="HF25" s="315" t="n"/>
      <c r="HG25" s="315" t="n"/>
      <c r="HH25" s="315" t="n"/>
      <c r="HI25" s="315" t="n"/>
      <c r="HJ25" s="315" t="n"/>
      <c r="HK25" s="315" t="n"/>
      <c r="HL25" s="315" t="n"/>
      <c r="HM25" s="315" t="n"/>
      <c r="HN25" s="315" t="n"/>
      <c r="HO25" s="315" t="n"/>
      <c r="HP25" s="315" t="n"/>
      <c r="HQ25" s="315" t="n"/>
      <c r="HR25" s="315" t="n"/>
      <c r="HS25" s="315" t="n"/>
      <c r="HT25" s="315" t="n"/>
      <c r="HU25" s="315" t="n"/>
      <c r="HV25" s="315" t="n"/>
      <c r="HW25" s="315" t="n"/>
      <c r="HX25" s="315" t="n"/>
      <c r="HY25" s="315" t="n"/>
      <c r="HZ25" s="315" t="n"/>
      <c r="IA25" s="315" t="n"/>
      <c r="IB25" s="315" t="n"/>
      <c r="IC25" s="315" t="n"/>
      <c r="ID25" s="315" t="n"/>
      <c r="IE25" s="315" t="n"/>
      <c r="IF25" s="315" t="n"/>
      <c r="IG25" s="315" t="n"/>
      <c r="IH25" s="315" t="n"/>
      <c r="II25" s="315" t="n"/>
      <c r="IJ25" s="315" t="n"/>
      <c r="IK25" s="315" t="n"/>
      <c r="IL25" s="315" t="n"/>
      <c r="IM25" s="315" t="n"/>
      <c r="IN25" s="315" t="n"/>
      <c r="IO25" s="315" t="n"/>
      <c r="IP25" s="315" t="n"/>
      <c r="IQ25" s="315" t="n"/>
      <c r="IR25" s="315" t="n"/>
      <c r="IS25" s="315" t="n"/>
      <c r="IT25" s="315" t="n"/>
      <c r="IU25" s="315" t="n"/>
      <c r="IV25" s="315" t="n"/>
      <c r="IW25" s="315" t="n"/>
      <c r="IX25" s="315" t="n"/>
      <c r="IY25" s="315" t="n"/>
      <c r="IZ25" s="315" t="n"/>
      <c r="JA25" s="315" t="n"/>
      <c r="JB25" s="315" t="n"/>
      <c r="JC25" s="315" t="n"/>
      <c r="JD25" s="315" t="n"/>
      <c r="JE25" s="315" t="n"/>
      <c r="JF25" s="315" t="n"/>
      <c r="JG25" s="315" t="n"/>
      <c r="JH25" s="315" t="n"/>
      <c r="JI25" s="315" t="n"/>
      <c r="JJ25" s="315" t="n"/>
      <c r="JK25" s="315" t="n"/>
      <c r="JL25" s="315" t="n"/>
      <c r="JM25" s="315" t="n"/>
      <c r="JN25" s="315" t="n"/>
      <c r="JO25" s="315" t="n"/>
      <c r="JP25" s="315" t="n"/>
      <c r="JQ25" s="315" t="n"/>
      <c r="JR25" s="315" t="n"/>
      <c r="JS25" s="315" t="n"/>
      <c r="JT25" s="315" t="n"/>
      <c r="JU25" s="315" t="n"/>
      <c r="JV25" s="315" t="n"/>
      <c r="JW25" s="315" t="n"/>
      <c r="JX25" s="315" t="n"/>
      <c r="JY25" s="315" t="n"/>
      <c r="JZ25" s="315" t="n"/>
      <c r="KA25" s="315" t="n"/>
      <c r="KB25" s="315" t="n"/>
      <c r="KC25" s="315" t="n"/>
      <c r="KD25" s="315" t="n"/>
      <c r="KE25" s="315" t="n"/>
      <c r="KF25" s="315" t="n"/>
      <c r="KG25" s="315" t="n"/>
      <c r="KH25" s="315" t="n"/>
      <c r="KI25" s="315" t="n"/>
      <c r="KJ25" s="315" t="n"/>
      <c r="KK25" s="315" t="n"/>
      <c r="KL25" s="315" t="n"/>
      <c r="KM25" s="315" t="n"/>
      <c r="KN25" s="315" t="n"/>
      <c r="KO25" s="315" t="n"/>
      <c r="KP25" s="315" t="n"/>
      <c r="KQ25" s="315" t="n"/>
      <c r="KR25" s="315" t="n"/>
      <c r="KS25" s="315" t="n"/>
      <c r="KT25" s="315" t="n"/>
      <c r="KU25" s="315" t="n"/>
      <c r="KV25" s="315" t="n"/>
      <c r="KW25" s="315" t="n"/>
      <c r="KX25" s="315" t="n"/>
      <c r="KY25" s="315" t="n"/>
      <c r="KZ25" s="315" t="n"/>
      <c r="LA25" s="315" t="n"/>
      <c r="LB25" s="315" t="n"/>
      <c r="LC25" s="315" t="n"/>
      <c r="LD25" s="315" t="n"/>
      <c r="LE25" s="315" t="n"/>
      <c r="LF25" s="315" t="n"/>
      <c r="LG25" s="315" t="n"/>
      <c r="LH25" s="315" t="n"/>
      <c r="LI25" s="315" t="n"/>
      <c r="LJ25" s="315" t="n"/>
      <c r="LK25" s="315" t="n"/>
      <c r="LL25" s="315" t="n"/>
      <c r="LM25" s="315" t="n"/>
      <c r="LN25" s="315" t="n"/>
      <c r="LO25" s="315" t="n"/>
      <c r="LP25" s="315" t="n"/>
      <c r="LQ25" s="315" t="n"/>
      <c r="LR25" s="315" t="n"/>
      <c r="LS25" s="315" t="n"/>
      <c r="LT25" s="315" t="n"/>
      <c r="LU25" s="315" t="n"/>
      <c r="LV25" s="315" t="n"/>
      <c r="LW25" s="315" t="n"/>
      <c r="LX25" s="315" t="n"/>
      <c r="LY25" s="315" t="n"/>
      <c r="LZ25" s="315" t="n"/>
      <c r="MA25" s="315" t="n"/>
      <c r="MB25" s="315" t="n"/>
      <c r="MC25" s="315" t="n"/>
      <c r="MD25" s="315" t="n"/>
      <c r="ME25" s="315" t="n"/>
      <c r="MF25" s="315" t="n"/>
      <c r="MG25" s="315" t="n"/>
      <c r="MH25" s="315" t="n"/>
      <c r="MI25" s="315" t="n"/>
      <c r="MJ25" s="315" t="n"/>
      <c r="MK25" s="315" t="n"/>
      <c r="ML25" s="315" t="n"/>
      <c r="MM25" s="315" t="n"/>
      <c r="MN25" s="315" t="n"/>
      <c r="MO25" s="315" t="n"/>
      <c r="MP25" s="315" t="n"/>
      <c r="MQ25" s="315" t="n"/>
      <c r="MR25" s="315" t="n"/>
      <c r="MS25" s="315" t="n"/>
      <c r="MT25" s="315" t="n"/>
      <c r="MU25" s="315" t="n"/>
      <c r="MV25" s="315" t="n"/>
      <c r="MW25" s="315" t="n"/>
      <c r="MX25" s="315" t="n"/>
      <c r="MY25" s="315" t="n"/>
      <c r="MZ25" s="315" t="n"/>
      <c r="NA25" s="315" t="n"/>
      <c r="NB25" s="315" t="n"/>
      <c r="NC25" s="315" t="n"/>
      <c r="ND25" s="315" t="n"/>
      <c r="NE25" s="315" t="n"/>
      <c r="NF25" s="315" t="n"/>
      <c r="NG25" s="315" t="n"/>
      <c r="NH25" s="315" t="n"/>
      <c r="NI25" s="315" t="n"/>
      <c r="NJ25" s="315" t="n"/>
      <c r="NK25" s="315" t="n"/>
      <c r="NL25" s="315" t="n"/>
      <c r="NM25" s="315" t="n"/>
      <c r="NN25" s="315" t="n"/>
      <c r="NO25" s="315" t="n"/>
      <c r="NP25" s="315" t="n"/>
      <c r="NQ25" s="315" t="n"/>
      <c r="NR25" s="315" t="n"/>
      <c r="NS25" s="315" t="n"/>
      <c r="NT25" s="315" t="n"/>
      <c r="NU25" s="315" t="n"/>
      <c r="NV25" s="315" t="n"/>
      <c r="NW25" s="315" t="n"/>
      <c r="NX25" s="315" t="n"/>
      <c r="NY25" s="315" t="n"/>
      <c r="NZ25" s="315" t="n"/>
      <c r="OA25" s="315" t="n"/>
      <c r="OB25" s="315" t="n"/>
      <c r="OC25" s="315" t="n"/>
      <c r="OD25" s="315" t="n"/>
      <c r="OE25" s="315" t="n"/>
      <c r="OF25" s="315" t="n"/>
      <c r="OG25" s="315" t="n"/>
      <c r="OH25" s="315" t="n"/>
      <c r="OI25" s="315" t="n"/>
      <c r="OJ25" s="315" t="n"/>
      <c r="OK25" s="315" t="n"/>
      <c r="OL25" s="315" t="n"/>
      <c r="OM25" s="315" t="n"/>
      <c r="ON25" s="315" t="n"/>
      <c r="OO25" s="315" t="n"/>
      <c r="OP25" s="315" t="n"/>
      <c r="OQ25" s="315" t="n"/>
      <c r="OR25" s="315" t="n"/>
      <c r="OS25" s="315" t="n"/>
      <c r="OT25" s="315" t="n"/>
      <c r="OU25" s="315" t="n"/>
      <c r="OV25" s="315" t="n"/>
      <c r="OW25" s="315" t="n"/>
      <c r="OX25" s="315" t="n"/>
      <c r="OY25" s="315" t="n"/>
      <c r="OZ25" s="315" t="n"/>
      <c r="PA25" s="315" t="n"/>
      <c r="PB25" s="315" t="n"/>
      <c r="PC25" s="315" t="n"/>
      <c r="PD25" s="315" t="n"/>
      <c r="PE25" s="315" t="n"/>
      <c r="PF25" s="315" t="n"/>
      <c r="PG25" s="315" t="n"/>
      <c r="PH25" s="315" t="n"/>
      <c r="PI25" s="315" t="n"/>
      <c r="PJ25" s="315" t="n"/>
      <c r="PK25" s="315" t="n"/>
      <c r="PL25" s="315" t="n"/>
      <c r="PM25" s="315" t="n"/>
      <c r="PN25" s="315" t="n"/>
      <c r="PO25" s="315" t="n"/>
      <c r="PP25" s="315" t="n"/>
      <c r="PQ25" s="315" t="n"/>
      <c r="PR25" s="315" t="n"/>
      <c r="PS25" s="315" t="n"/>
      <c r="PT25" s="315" t="n"/>
      <c r="PU25" s="315" t="n"/>
      <c r="PV25" s="315" t="n"/>
      <c r="PW25" s="315" t="n"/>
      <c r="PX25" s="315" t="n"/>
      <c r="PY25" s="315" t="n"/>
      <c r="PZ25" s="315" t="n"/>
      <c r="QA25" s="315" t="n"/>
      <c r="QB25" s="315" t="n"/>
      <c r="QC25" s="315" t="n"/>
      <c r="QD25" s="315" t="n"/>
      <c r="QE25" s="315" t="n"/>
      <c r="QF25" s="315" t="n"/>
      <c r="QG25" s="315" t="n"/>
      <c r="QH25" s="315" t="n"/>
      <c r="QI25" s="315" t="n"/>
      <c r="QJ25" s="315" t="n"/>
      <c r="QK25" s="315" t="n"/>
      <c r="QL25" s="315" t="n"/>
      <c r="QM25" s="315" t="n"/>
      <c r="QN25" s="315" t="n"/>
      <c r="QO25" s="315" t="n"/>
      <c r="QP25" s="315" t="n"/>
      <c r="QQ25" s="315" t="n"/>
      <c r="QR25" s="315" t="n"/>
      <c r="QS25" s="315" t="n"/>
      <c r="QT25" s="315" t="n"/>
      <c r="QU25" s="315" t="n"/>
      <c r="QV25" s="315" t="n"/>
      <c r="QW25" s="315" t="n"/>
      <c r="QX25" s="315" t="n"/>
      <c r="QY25" s="315" t="n"/>
      <c r="QZ25" s="315" t="n"/>
      <c r="RA25" s="315" t="n"/>
      <c r="RB25" s="315" t="n"/>
      <c r="RC25" s="315" t="n"/>
      <c r="RD25" s="315" t="n"/>
      <c r="RE25" s="315" t="n"/>
      <c r="RF25" s="315" t="n"/>
      <c r="RG25" s="315" t="n"/>
      <c r="RH25" s="315" t="n"/>
      <c r="RI25" s="315" t="n"/>
      <c r="RJ25" s="315" t="n"/>
      <c r="RK25" s="315" t="n"/>
      <c r="RL25" s="315" t="n"/>
      <c r="RM25" s="315" t="n"/>
      <c r="RN25" s="315" t="n"/>
      <c r="RO25" s="315" t="n"/>
      <c r="RP25" s="315" t="n"/>
      <c r="RQ25" s="315" t="n"/>
      <c r="RR25" s="315" t="n"/>
      <c r="RS25" s="315" t="n"/>
      <c r="RT25" s="315" t="n"/>
      <c r="RU25" s="315" t="n"/>
      <c r="RV25" s="315" t="n"/>
      <c r="RW25" s="315" t="n"/>
      <c r="RX25" s="315" t="n"/>
      <c r="RY25" s="315" t="n"/>
      <c r="RZ25" s="315" t="n"/>
      <c r="SA25" s="315" t="n"/>
      <c r="SB25" s="315" t="n"/>
      <c r="SC25" s="315" t="n"/>
      <c r="SD25" s="315" t="n"/>
      <c r="SE25" s="315" t="n"/>
      <c r="SF25" s="315" t="n"/>
      <c r="SG25" s="315" t="n"/>
      <c r="SH25" s="315" t="n"/>
      <c r="SI25" s="315" t="n"/>
      <c r="SJ25" s="315" t="n"/>
      <c r="SK25" s="315" t="n"/>
      <c r="SL25" s="315" t="n"/>
      <c r="SM25" s="315" t="n"/>
      <c r="SN25" s="315" t="n"/>
      <c r="SO25" s="315" t="n"/>
      <c r="SP25" s="315" t="n"/>
      <c r="SQ25" s="315" t="n"/>
      <c r="SR25" s="315" t="n"/>
      <c r="SS25" s="315" t="n"/>
      <c r="ST25" s="315" t="n"/>
      <c r="SU25" s="315" t="n"/>
      <c r="SV25" s="315" t="n"/>
      <c r="SW25" s="315" t="n"/>
      <c r="SX25" s="315" t="n"/>
      <c r="SY25" s="315" t="n"/>
      <c r="SZ25" s="315" t="n"/>
      <c r="TA25" s="315" t="n"/>
      <c r="TB25" s="315" t="n"/>
      <c r="TC25" s="315" t="n"/>
      <c r="TD25" s="315" t="n"/>
      <c r="TE25" s="315" t="n"/>
      <c r="TF25" s="315" t="n"/>
      <c r="TG25" s="315" t="n"/>
      <c r="TH25" s="315" t="n"/>
      <c r="TI25" s="315" t="n"/>
      <c r="TJ25" s="315" t="n"/>
      <c r="TK25" s="315" t="n"/>
      <c r="TL25" s="315" t="n"/>
      <c r="TM25" s="315" t="n"/>
      <c r="TN25" s="315" t="n"/>
      <c r="TO25" s="315" t="n"/>
      <c r="TP25" s="315" t="n"/>
      <c r="TQ25" s="315" t="n"/>
      <c r="TR25" s="315" t="n"/>
      <c r="TS25" s="315" t="n"/>
      <c r="TT25" s="315" t="n"/>
      <c r="TU25" s="315" t="n"/>
      <c r="TV25" s="315" t="n"/>
      <c r="TW25" s="315" t="n"/>
      <c r="TX25" s="315" t="n"/>
      <c r="TY25" s="315" t="n"/>
      <c r="TZ25" s="315" t="n"/>
      <c r="UA25" s="315" t="n"/>
      <c r="UB25" s="315" t="n"/>
      <c r="UC25" s="315" t="n"/>
      <c r="UD25" s="315" t="n"/>
      <c r="UE25" s="315" t="n"/>
      <c r="UF25" s="315" t="n"/>
      <c r="UG25" s="315" t="n"/>
      <c r="UH25" s="315" t="n"/>
      <c r="UI25" s="315" t="n"/>
      <c r="UJ25" s="315" t="n"/>
      <c r="UK25" s="315" t="n"/>
      <c r="UL25" s="315" t="n"/>
      <c r="UM25" s="315" t="n"/>
      <c r="UN25" s="315" t="n"/>
      <c r="UO25" s="315" t="n"/>
      <c r="UP25" s="315" t="n"/>
      <c r="UQ25" s="315" t="n"/>
      <c r="UR25" s="315" t="n"/>
      <c r="US25" s="315" t="n"/>
      <c r="UT25" s="315" t="n"/>
      <c r="UU25" s="315" t="n"/>
      <c r="UV25" s="315" t="n"/>
      <c r="UW25" s="315" t="n"/>
      <c r="UX25" s="315" t="n"/>
      <c r="UY25" s="315" t="n"/>
      <c r="UZ25" s="315" t="n"/>
      <c r="VA25" s="315" t="n"/>
      <c r="VB25" s="315" t="n"/>
      <c r="VC25" s="315" t="n"/>
      <c r="VD25" s="315" t="n"/>
      <c r="VE25" s="315" t="n"/>
      <c r="VF25" s="315" t="n"/>
      <c r="VG25" s="315" t="n"/>
      <c r="VH25" s="315" t="n"/>
      <c r="VI25" s="315" t="n"/>
      <c r="VJ25" s="315" t="n"/>
      <c r="VK25" s="315" t="n"/>
      <c r="VL25" s="315" t="n"/>
      <c r="VM25" s="315" t="n"/>
      <c r="VN25" s="315" t="n"/>
      <c r="VO25" s="315" t="n"/>
      <c r="VP25" s="315" t="n"/>
      <c r="VQ25" s="315" t="n"/>
      <c r="VR25" s="315" t="n"/>
      <c r="VS25" s="315" t="n"/>
      <c r="VT25" s="315" t="n"/>
      <c r="VU25" s="315" t="n"/>
      <c r="VV25" s="315" t="n"/>
      <c r="VW25" s="315" t="n"/>
      <c r="VX25" s="315" t="n"/>
      <c r="VY25" s="315" t="n"/>
      <c r="VZ25" s="315" t="n"/>
      <c r="WA25" s="315" t="n"/>
      <c r="WB25" s="315" t="n"/>
      <c r="WC25" s="315" t="n"/>
      <c r="WD25" s="315" t="n"/>
      <c r="WE25" s="315" t="n"/>
      <c r="WF25" s="315" t="n"/>
      <c r="WG25" s="315" t="n"/>
      <c r="WH25" s="315" t="n"/>
      <c r="WI25" s="315" t="n"/>
      <c r="WJ25" s="315" t="n"/>
      <c r="WK25" s="315" t="n"/>
      <c r="WL25" s="315" t="n"/>
      <c r="WM25" s="315" t="n"/>
      <c r="WN25" s="315" t="n"/>
      <c r="WO25" s="315" t="n"/>
      <c r="WP25" s="315" t="n"/>
      <c r="WQ25" s="315" t="n"/>
      <c r="WR25" s="315" t="n"/>
      <c r="WS25" s="315" t="n"/>
      <c r="WT25" s="315" t="n"/>
      <c r="WU25" s="315" t="n"/>
      <c r="WV25" s="315" t="n"/>
      <c r="WW25" s="315" t="n"/>
      <c r="WX25" s="315" t="n"/>
      <c r="WY25" s="315" t="n"/>
      <c r="WZ25" s="315" t="n"/>
      <c r="XA25" s="315" t="n"/>
      <c r="XB25" s="315" t="n"/>
      <c r="XC25" s="315" t="n"/>
      <c r="XD25" s="315" t="n"/>
      <c r="XE25" s="315" t="n"/>
      <c r="XF25" s="315" t="n"/>
      <c r="XG25" s="315" t="n"/>
      <c r="XH25" s="315" t="n"/>
      <c r="XI25" s="315" t="n"/>
      <c r="XJ25" s="315" t="n"/>
      <c r="XK25" s="315" t="n"/>
      <c r="XL25" s="315" t="n"/>
      <c r="XM25" s="315" t="n"/>
      <c r="XN25" s="315" t="n"/>
      <c r="XO25" s="315" t="n"/>
      <c r="XP25" s="315" t="n"/>
      <c r="XQ25" s="315" t="n"/>
      <c r="XR25" s="315" t="n"/>
      <c r="XS25" s="315" t="n"/>
      <c r="XT25" s="315" t="n"/>
      <c r="XU25" s="315" t="n"/>
      <c r="XV25" s="315" t="n"/>
      <c r="XW25" s="315" t="n"/>
      <c r="XX25" s="315" t="n"/>
      <c r="XY25" s="315" t="n"/>
      <c r="XZ25" s="315" t="n"/>
      <c r="YA25" s="315" t="n"/>
      <c r="YB25" s="315" t="n"/>
      <c r="YC25" s="315" t="n"/>
      <c r="YD25" s="315" t="n"/>
      <c r="YE25" s="315" t="n"/>
      <c r="YF25" s="315" t="n"/>
      <c r="YG25" s="315" t="n"/>
      <c r="YH25" s="315" t="n"/>
      <c r="YI25" s="315" t="n"/>
      <c r="YJ25" s="315" t="n"/>
      <c r="YK25" s="315" t="n"/>
      <c r="YL25" s="315" t="n"/>
      <c r="YM25" s="315" t="n"/>
      <c r="YN25" s="315" t="n"/>
      <c r="YO25" s="315" t="n"/>
      <c r="YP25" s="315" t="n"/>
      <c r="YQ25" s="315" t="n"/>
      <c r="YR25" s="315" t="n"/>
      <c r="YS25" s="315" t="n"/>
      <c r="YT25" s="315" t="n"/>
      <c r="YU25" s="315" t="n"/>
      <c r="YV25" s="315" t="n"/>
      <c r="YW25" s="315" t="n"/>
      <c r="YX25" s="315" t="n"/>
      <c r="YY25" s="315" t="n"/>
      <c r="YZ25" s="315" t="n"/>
      <c r="ZA25" s="315" t="n"/>
      <c r="ZB25" s="315" t="n"/>
      <c r="ZC25" s="315" t="n"/>
      <c r="ZD25" s="315" t="n"/>
      <c r="ZE25" s="315" t="n"/>
      <c r="ZF25" s="315" t="n"/>
      <c r="ZG25" s="315" t="n"/>
      <c r="ZH25" s="315" t="n"/>
      <c r="ZI25" s="315" t="n"/>
      <c r="ZJ25" s="315" t="n"/>
      <c r="ZK25" s="315" t="n"/>
      <c r="ZL25" s="315" t="n"/>
      <c r="ZM25" s="315" t="n"/>
      <c r="ZN25" s="315" t="n"/>
      <c r="ZO25" s="315" t="n"/>
      <c r="ZP25" s="315" t="n"/>
      <c r="ZQ25" s="315" t="n"/>
      <c r="ZR25" s="315" t="n"/>
      <c r="ZS25" s="315" t="n"/>
      <c r="ZT25" s="315" t="n"/>
      <c r="ZU25" s="315" t="n"/>
      <c r="ZV25" s="315" t="n"/>
      <c r="ZW25" s="315" t="n"/>
      <c r="ZX25" s="315" t="n"/>
      <c r="ZY25" s="315" t="n"/>
      <c r="ZZ25" s="315" t="n"/>
      <c r="AAA25" s="315" t="n"/>
      <c r="AAB25" s="315" t="n"/>
      <c r="AAC25" s="315" t="n"/>
      <c r="AAD25" s="315" t="n"/>
      <c r="AAE25" s="315" t="n"/>
      <c r="AAF25" s="315" t="n"/>
      <c r="AAG25" s="315" t="n"/>
      <c r="AAH25" s="315" t="n"/>
      <c r="AAI25" s="315" t="n"/>
      <c r="AAJ25" s="315" t="n"/>
      <c r="AAK25" s="315" t="n"/>
      <c r="AAL25" s="315" t="n"/>
      <c r="AAM25" s="315" t="n"/>
      <c r="AAN25" s="315" t="n"/>
      <c r="AAO25" s="315" t="n"/>
      <c r="AAP25" s="315" t="n"/>
      <c r="AAQ25" s="315" t="n"/>
      <c r="AAR25" s="315" t="n"/>
      <c r="AAS25" s="315" t="n"/>
      <c r="AAT25" s="315" t="n"/>
      <c r="AAU25" s="315" t="n"/>
      <c r="AAV25" s="315" t="n"/>
      <c r="AAW25" s="315" t="n"/>
      <c r="AAX25" s="315" t="n"/>
      <c r="AAY25" s="315" t="n"/>
      <c r="AAZ25" s="315" t="n"/>
      <c r="ABA25" s="315" t="n"/>
      <c r="ABB25" s="315" t="n"/>
      <c r="ABC25" s="315" t="n"/>
      <c r="ABD25" s="315" t="n"/>
      <c r="ABE25" s="315" t="n"/>
      <c r="ABF25" s="315" t="n"/>
      <c r="ABG25" s="315" t="n"/>
      <c r="ABH25" s="315" t="n"/>
      <c r="ABI25" s="315" t="n"/>
      <c r="ABJ25" s="315" t="n"/>
      <c r="ABK25" s="315" t="n"/>
      <c r="ABL25" s="315" t="n"/>
      <c r="ABM25" s="315" t="n"/>
      <c r="ABN25" s="315" t="n"/>
      <c r="ABO25" s="315" t="n"/>
      <c r="ABP25" s="315" t="n"/>
      <c r="ABQ25" s="315" t="n"/>
      <c r="ABR25" s="315" t="n"/>
      <c r="ABS25" s="315" t="n"/>
      <c r="ABT25" s="315" t="n"/>
      <c r="ABU25" s="315" t="n"/>
      <c r="ABV25" s="315" t="n"/>
      <c r="ABW25" s="315" t="n"/>
      <c r="ABX25" s="315" t="n"/>
      <c r="ABY25" s="315" t="n"/>
      <c r="ABZ25" s="315" t="n"/>
      <c r="ACA25" s="315" t="n"/>
      <c r="ACB25" s="315" t="n"/>
      <c r="ACC25" s="315" t="n"/>
      <c r="ACD25" s="315" t="n"/>
      <c r="ACE25" s="315" t="n"/>
      <c r="ACF25" s="315" t="n"/>
      <c r="ACG25" s="315" t="n"/>
      <c r="ACH25" s="315" t="n"/>
      <c r="ACI25" s="315" t="n"/>
      <c r="ACJ25" s="315" t="n"/>
      <c r="ACK25" s="315" t="n"/>
      <c r="ACL25" s="315" t="n"/>
      <c r="ACM25" s="315" t="n"/>
      <c r="ACN25" s="315" t="n"/>
      <c r="ACO25" s="315" t="n"/>
      <c r="ACP25" s="315" t="n"/>
      <c r="ACQ25" s="315" t="n"/>
      <c r="ACR25" s="315" t="n"/>
      <c r="ACS25" s="315" t="n"/>
      <c r="ACT25" s="315" t="n"/>
      <c r="ACU25" s="315" t="n"/>
      <c r="ACV25" s="315" t="n"/>
      <c r="ACW25" s="315" t="n"/>
      <c r="ACX25" s="315" t="n"/>
      <c r="ACY25" s="315" t="n"/>
      <c r="ACZ25" s="315" t="n"/>
      <c r="ADA25" s="315" t="n"/>
      <c r="ADB25" s="315" t="n"/>
      <c r="ADC25" s="315" t="n"/>
      <c r="ADD25" s="315" t="n"/>
      <c r="ADE25" s="315" t="n"/>
      <c r="ADF25" s="315" t="n"/>
      <c r="ADG25" s="315" t="n"/>
      <c r="ADH25" s="315" t="n"/>
      <c r="ADI25" s="315" t="n"/>
      <c r="ADJ25" s="315" t="n"/>
      <c r="ADK25" s="315" t="n"/>
      <c r="ADL25" s="315" t="n"/>
      <c r="ADM25" s="315" t="n"/>
      <c r="ADN25" s="315" t="n"/>
      <c r="ADO25" s="315" t="n"/>
      <c r="ADP25" s="315" t="n"/>
      <c r="ADQ25" s="315" t="n"/>
      <c r="ADR25" s="315" t="n"/>
      <c r="ADS25" s="315" t="n"/>
      <c r="ADT25" s="315" t="n"/>
      <c r="ADU25" s="315" t="n"/>
      <c r="ADV25" s="315" t="n"/>
      <c r="ADW25" s="315" t="n"/>
      <c r="ADX25" s="315" t="n"/>
      <c r="ADY25" s="315" t="n"/>
      <c r="ADZ25" s="315" t="n"/>
      <c r="AEA25" s="315" t="n"/>
      <c r="AEB25" s="315" t="n"/>
      <c r="AEC25" s="315" t="n"/>
      <c r="AED25" s="315" t="n"/>
      <c r="AEE25" s="315" t="n"/>
      <c r="AEF25" s="315" t="n"/>
      <c r="AEG25" s="315" t="n"/>
      <c r="AEH25" s="315" t="n"/>
      <c r="AEI25" s="315" t="n"/>
      <c r="AEJ25" s="315" t="n"/>
      <c r="AEK25" s="315" t="n"/>
      <c r="AEL25" s="315" t="n"/>
      <c r="AEM25" s="315" t="n"/>
      <c r="AEN25" s="315" t="n"/>
      <c r="AEO25" s="315" t="n"/>
      <c r="AEP25" s="315" t="n"/>
      <c r="AEQ25" s="315" t="n"/>
      <c r="AER25" s="315" t="n"/>
      <c r="AES25" s="315" t="n"/>
      <c r="AET25" s="315" t="n"/>
      <c r="AEU25" s="315" t="n"/>
      <c r="AEV25" s="315" t="n"/>
      <c r="AEW25" s="315" t="n"/>
      <c r="AEX25" s="315" t="n"/>
      <c r="AEY25" s="315" t="n"/>
      <c r="AEZ25" s="315" t="n"/>
      <c r="AFA25" s="315" t="n"/>
      <c r="AFB25" s="315" t="n"/>
      <c r="AFC25" s="315" t="n"/>
      <c r="AFD25" s="315" t="n"/>
      <c r="AFE25" s="315" t="n"/>
      <c r="AFF25" s="315" t="n"/>
      <c r="AFG25" s="315" t="n"/>
      <c r="AFH25" s="315" t="n"/>
      <c r="AFI25" s="315" t="n"/>
      <c r="AFJ25" s="315" t="n"/>
      <c r="AFK25" s="315" t="n"/>
      <c r="AFL25" s="315" t="n"/>
      <c r="AFM25" s="315" t="n"/>
      <c r="AFN25" s="315" t="n"/>
      <c r="AFO25" s="315" t="n"/>
      <c r="AFP25" s="315" t="n"/>
      <c r="AFQ25" s="315" t="n"/>
      <c r="AFR25" s="315" t="n"/>
      <c r="AFS25" s="315" t="n"/>
      <c r="AFT25" s="315" t="n"/>
      <c r="AFU25" s="315" t="n"/>
      <c r="AFV25" s="315" t="n"/>
      <c r="AFW25" s="315" t="n"/>
      <c r="AFX25" s="315" t="n"/>
      <c r="AFY25" s="315" t="n"/>
      <c r="AFZ25" s="315" t="n"/>
      <c r="AGA25" s="315" t="n"/>
      <c r="AGB25" s="315" t="n"/>
      <c r="AGC25" s="315" t="n"/>
      <c r="AGD25" s="315" t="n"/>
      <c r="AGE25" s="315" t="n"/>
      <c r="AGF25" s="315" t="n"/>
      <c r="AGG25" s="315" t="n"/>
      <c r="AGH25" s="315" t="n"/>
      <c r="AGI25" s="315" t="n"/>
      <c r="AGJ25" s="315" t="n"/>
      <c r="AGK25" s="315" t="n"/>
      <c r="AGL25" s="315" t="n"/>
      <c r="AGM25" s="315" t="n"/>
      <c r="AGN25" s="315" t="n"/>
      <c r="AGO25" s="315" t="n"/>
      <c r="AGP25" s="315" t="n"/>
      <c r="AGQ25" s="315" t="n"/>
      <c r="AGR25" s="315" t="n"/>
      <c r="AGS25" s="315" t="n"/>
      <c r="AGT25" s="315" t="n"/>
      <c r="AGU25" s="315" t="n"/>
      <c r="AGV25" s="315" t="n"/>
      <c r="AGW25" s="315" t="n"/>
      <c r="AGX25" s="315" t="n"/>
      <c r="AGY25" s="315" t="n"/>
      <c r="AGZ25" s="315" t="n"/>
      <c r="AHA25" s="315" t="n"/>
      <c r="AHB25" s="315" t="n"/>
      <c r="AHC25" s="315" t="n"/>
      <c r="AHD25" s="315" t="n"/>
      <c r="AHE25" s="315" t="n"/>
      <c r="AHF25" s="315" t="n"/>
      <c r="AHG25" s="315" t="n"/>
      <c r="AHH25" s="315" t="n"/>
      <c r="AHI25" s="315" t="n"/>
      <c r="AHJ25" s="315" t="n"/>
      <c r="AHK25" s="315" t="n"/>
      <c r="AHL25" s="315" t="n"/>
      <c r="AHM25" s="315" t="n"/>
      <c r="AHN25" s="315" t="n"/>
      <c r="AHO25" s="315" t="n"/>
      <c r="AHP25" s="315" t="n"/>
      <c r="AHQ25" s="315" t="n"/>
      <c r="AHR25" s="315" t="n"/>
      <c r="AHS25" s="315" t="n"/>
      <c r="AHT25" s="315" t="n"/>
      <c r="AHU25" s="315" t="n"/>
      <c r="AHV25" s="315" t="n"/>
      <c r="AHW25" s="315" t="n"/>
      <c r="AHX25" s="315" t="n"/>
      <c r="AHY25" s="315" t="n"/>
      <c r="AHZ25" s="315" t="n"/>
      <c r="AIA25" s="315" t="n"/>
      <c r="AIB25" s="315" t="n"/>
      <c r="AIC25" s="315" t="n"/>
      <c r="AID25" s="315" t="n"/>
      <c r="AIE25" s="315" t="n"/>
      <c r="AIF25" s="315" t="n"/>
      <c r="AIG25" s="315" t="n"/>
      <c r="AIH25" s="315" t="n"/>
      <c r="AII25" s="315" t="n"/>
      <c r="AIJ25" s="315" t="n"/>
      <c r="AIK25" s="315" t="n"/>
      <c r="AIL25" s="315" t="n"/>
      <c r="AIM25" s="315" t="n"/>
      <c r="AIN25" s="315" t="n"/>
      <c r="AIO25" s="315" t="n"/>
      <c r="AIP25" s="315" t="n"/>
      <c r="AIQ25" s="315" t="n"/>
      <c r="AIR25" s="315" t="n"/>
      <c r="AIS25" s="315" t="n"/>
      <c r="AIT25" s="315" t="n"/>
      <c r="AIU25" s="315" t="n"/>
      <c r="AIV25" s="315" t="n"/>
      <c r="AIW25" s="315" t="n"/>
      <c r="AIX25" s="315" t="n"/>
      <c r="AIY25" s="315" t="n"/>
      <c r="AIZ25" s="315" t="n"/>
      <c r="AJA25" s="315" t="n"/>
      <c r="AJB25" s="315" t="n"/>
      <c r="AJC25" s="315" t="n"/>
      <c r="AJD25" s="315" t="n"/>
      <c r="AJE25" s="315" t="n"/>
      <c r="AJF25" s="315" t="n"/>
      <c r="AJG25" s="315" t="n"/>
      <c r="AJH25" s="315" t="n"/>
      <c r="AJI25" s="315" t="n"/>
      <c r="AJJ25" s="315" t="n"/>
      <c r="AJK25" s="315" t="n"/>
      <c r="AJL25" s="315" t="n"/>
      <c r="AJM25" s="315" t="n"/>
      <c r="AJN25" s="315" t="n"/>
      <c r="AJO25" s="315" t="n"/>
      <c r="AJP25" s="315" t="n"/>
      <c r="AJQ25" s="315" t="n"/>
      <c r="AJR25" s="315" t="n"/>
      <c r="AJS25" s="315" t="n"/>
      <c r="AJT25" s="315" t="n"/>
      <c r="AJU25" s="315" t="n"/>
      <c r="AJV25" s="315" t="n"/>
      <c r="AJW25" s="315" t="n"/>
      <c r="AJX25" s="315" t="n"/>
      <c r="AJY25" s="315" t="n"/>
      <c r="AJZ25" s="315" t="n"/>
      <c r="AKA25" s="315" t="n"/>
      <c r="AKB25" s="315" t="n"/>
      <c r="AKC25" s="315" t="n"/>
      <c r="AKD25" s="315" t="n"/>
      <c r="AKE25" s="315" t="n"/>
      <c r="AKF25" s="315" t="n"/>
      <c r="AKG25" s="315" t="n"/>
      <c r="AKH25" s="315" t="n"/>
      <c r="AKI25" s="315" t="n"/>
      <c r="AKJ25" s="315" t="n"/>
      <c r="AKK25" s="315" t="n"/>
      <c r="AKL25" s="315" t="n"/>
      <c r="AKM25" s="315" t="n"/>
      <c r="AKN25" s="315" t="n"/>
      <c r="AKO25" s="315" t="n"/>
      <c r="AKP25" s="315" t="n"/>
      <c r="AKQ25" s="315" t="n"/>
      <c r="AKR25" s="315" t="n"/>
      <c r="AKS25" s="315" t="n"/>
      <c r="AKT25" s="315" t="n"/>
      <c r="AKU25" s="315" t="n"/>
      <c r="AKV25" s="315" t="n"/>
      <c r="AKW25" s="315" t="n"/>
      <c r="AKX25" s="315" t="n"/>
      <c r="AKY25" s="315" t="n"/>
      <c r="AKZ25" s="315" t="n"/>
      <c r="ALA25" s="315" t="n"/>
      <c r="ALB25" s="315" t="n"/>
      <c r="ALC25" s="315" t="n"/>
      <c r="ALD25" s="315" t="n"/>
      <c r="ALE25" s="315" t="n"/>
      <c r="ALF25" s="315" t="n"/>
      <c r="ALG25" s="315" t="n"/>
      <c r="ALH25" s="315" t="n"/>
      <c r="ALI25" s="315" t="n"/>
      <c r="ALJ25" s="315" t="n"/>
      <c r="ALK25" s="315" t="n"/>
      <c r="ALL25" s="315" t="n"/>
      <c r="ALM25" s="315" t="n"/>
      <c r="ALN25" s="315" t="n"/>
      <c r="ALO25" s="315" t="n"/>
      <c r="ALP25" s="315" t="n"/>
      <c r="ALQ25" s="315" t="n"/>
      <c r="ALR25" s="315" t="n"/>
      <c r="ALS25" s="315" t="n"/>
      <c r="ALT25" s="315" t="n"/>
      <c r="ALU25" s="315" t="n"/>
      <c r="ALV25" s="315" t="n"/>
      <c r="ALW25" s="315" t="n"/>
      <c r="ALX25" s="315" t="n"/>
      <c r="ALY25" s="315" t="n"/>
      <c r="ALZ25" s="315" t="n"/>
      <c r="AMA25" s="315" t="n"/>
      <c r="AMB25" s="315" t="n"/>
      <c r="AMC25" s="315" t="n"/>
      <c r="AMD25" s="315" t="n"/>
      <c r="AME25" s="315" t="n"/>
      <c r="AMF25" s="315" t="n"/>
      <c r="AMG25" s="315" t="n"/>
      <c r="AMH25" s="315" t="n"/>
      <c r="AMI25" s="315" t="n"/>
      <c r="AMJ25" s="315" t="n"/>
      <c r="AMK25" s="315" t="n"/>
    </row>
    <row r="26" ht="9" customFormat="1" customHeight="1" s="770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Format="1" customHeight="1" s="770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339" t="inlineStr">
        <is>
          <t>RC102</t>
        </is>
      </c>
      <c r="B28" s="971" t="n">
        <v>0</v>
      </c>
      <c r="C28" s="792" t="n"/>
      <c r="D28" s="340" t="n"/>
      <c r="E28" s="340" t="n"/>
      <c r="F28" s="340" t="n"/>
      <c r="G28" s="340" t="n"/>
      <c r="H28" s="340" t="n"/>
      <c r="I28" s="340" t="n"/>
      <c r="J28" s="792" t="n"/>
    </row>
    <row r="29" ht="17.5" customHeight="1" s="885">
      <c r="A29" s="339" t="inlineStr">
        <is>
          <t>RC103</t>
        </is>
      </c>
      <c r="B29" s="971" t="n">
        <v>0.2</v>
      </c>
      <c r="C29" s="340" t="n"/>
      <c r="D29" s="340" t="n"/>
      <c r="E29" s="340" t="n"/>
      <c r="F29" s="340" t="n"/>
      <c r="G29" s="340" t="n"/>
      <c r="H29" s="340" t="n"/>
      <c r="I29" s="340" t="n"/>
      <c r="J29" s="340" t="n"/>
    </row>
    <row r="30" ht="17.5" customHeight="1" s="885">
      <c r="A30" s="339" t="inlineStr">
        <is>
          <t>RC104</t>
        </is>
      </c>
      <c r="B30" s="971" t="n">
        <v>0.5</v>
      </c>
      <c r="C30" s="340" t="n"/>
      <c r="D30" s="340" t="n"/>
      <c r="E30" s="340" t="n"/>
      <c r="F30" s="340" t="n"/>
      <c r="G30" s="340" t="n"/>
      <c r="H30" s="340" t="n"/>
      <c r="I30" s="340" t="n"/>
      <c r="J30" s="340" t="n"/>
    </row>
    <row r="31" ht="17.5" customHeight="1" s="885">
      <c r="A31" s="339" t="inlineStr">
        <is>
          <t>RC105</t>
        </is>
      </c>
      <c r="B31" s="971" t="n">
        <v>1</v>
      </c>
      <c r="C31" s="340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339" t="inlineStr">
        <is>
          <t>RC106</t>
        </is>
      </c>
      <c r="B32" s="971" t="n">
        <v>1.5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8" customFormat="1" customHeight="1" s="342">
      <c r="A33" s="339" t="inlineStr">
        <is>
          <t>RC107</t>
        </is>
      </c>
      <c r="B33" s="335" t="inlineStr">
        <is>
          <t>Total</t>
        </is>
      </c>
      <c r="C33" s="341" t="n"/>
      <c r="D33" s="341" t="n"/>
      <c r="E33" s="341" t="n"/>
      <c r="F33" s="341" t="n"/>
      <c r="G33" s="341" t="n"/>
      <c r="H33" s="341" t="n"/>
      <c r="I33" s="341" t="n"/>
      <c r="J33" s="341" t="n"/>
      <c r="K33" s="315" t="n"/>
      <c r="L33" s="315" t="n"/>
      <c r="M33" s="315" t="n"/>
      <c r="N33" s="315" t="n"/>
      <c r="O33" s="315" t="n"/>
      <c r="P33" s="315" t="n"/>
      <c r="Q33" s="315" t="n"/>
      <c r="R33" s="315" t="n"/>
      <c r="S33" s="315" t="n"/>
      <c r="T33" s="315" t="n"/>
      <c r="U33" s="315" t="n"/>
      <c r="V33" s="315" t="n"/>
      <c r="W33" s="315" t="n"/>
      <c r="X33" s="315" t="n"/>
      <c r="Y33" s="315" t="n"/>
      <c r="Z33" s="315" t="n"/>
      <c r="AA33" s="315" t="n"/>
      <c r="AB33" s="315" t="n"/>
      <c r="AC33" s="315" t="n"/>
      <c r="AD33" s="315" t="n"/>
      <c r="AE33" s="315" t="n"/>
      <c r="AF33" s="315" t="n"/>
      <c r="AG33" s="315" t="n"/>
      <c r="AH33" s="315" t="n"/>
      <c r="AI33" s="315" t="n"/>
      <c r="AJ33" s="315" t="n"/>
      <c r="AK33" s="315" t="n"/>
      <c r="AL33" s="315" t="n"/>
      <c r="AM33" s="315" t="n"/>
      <c r="AN33" s="315" t="n"/>
      <c r="AO33" s="315" t="n"/>
      <c r="AP33" s="315" t="n"/>
      <c r="AQ33" s="315" t="n"/>
      <c r="AR33" s="315" t="n"/>
      <c r="AS33" s="315" t="n"/>
      <c r="AT33" s="315" t="n"/>
      <c r="AU33" s="315" t="n"/>
      <c r="AV33" s="315" t="n"/>
      <c r="AW33" s="315" t="n"/>
      <c r="AX33" s="315" t="n"/>
      <c r="AY33" s="315" t="n"/>
      <c r="AZ33" s="315" t="n"/>
      <c r="BA33" s="315" t="n"/>
      <c r="BB33" s="315" t="n"/>
      <c r="BC33" s="315" t="n"/>
      <c r="BD33" s="315" t="n"/>
      <c r="BE33" s="315" t="n"/>
      <c r="BF33" s="315" t="n"/>
      <c r="BG33" s="315" t="n"/>
      <c r="BH33" s="315" t="n"/>
      <c r="BI33" s="315" t="n"/>
      <c r="BJ33" s="315" t="n"/>
      <c r="BK33" s="315" t="n"/>
      <c r="BL33" s="315" t="n"/>
      <c r="BM33" s="315" t="n"/>
      <c r="BN33" s="315" t="n"/>
      <c r="BO33" s="315" t="n"/>
      <c r="BP33" s="315" t="n"/>
      <c r="BQ33" s="315" t="n"/>
      <c r="BR33" s="315" t="n"/>
      <c r="BS33" s="315" t="n"/>
      <c r="BT33" s="315" t="n"/>
      <c r="BU33" s="315" t="n"/>
      <c r="BV33" s="315" t="n"/>
      <c r="BW33" s="315" t="n"/>
      <c r="BX33" s="315" t="n"/>
      <c r="BY33" s="315" t="n"/>
      <c r="BZ33" s="315" t="n"/>
      <c r="CA33" s="315" t="n"/>
      <c r="CB33" s="315" t="n"/>
      <c r="CC33" s="315" t="n"/>
      <c r="CD33" s="315" t="n"/>
      <c r="CE33" s="315" t="n"/>
      <c r="CF33" s="315" t="n"/>
      <c r="CG33" s="315" t="n"/>
      <c r="CH33" s="315" t="n"/>
      <c r="CI33" s="315" t="n"/>
      <c r="CJ33" s="315" t="n"/>
      <c r="CK33" s="315" t="n"/>
      <c r="CL33" s="315" t="n"/>
      <c r="CM33" s="315" t="n"/>
      <c r="CN33" s="315" t="n"/>
      <c r="CO33" s="315" t="n"/>
      <c r="CP33" s="315" t="n"/>
      <c r="CQ33" s="315" t="n"/>
      <c r="CR33" s="315" t="n"/>
      <c r="CS33" s="315" t="n"/>
      <c r="CT33" s="315" t="n"/>
      <c r="CU33" s="315" t="n"/>
      <c r="CV33" s="315" t="n"/>
      <c r="CW33" s="315" t="n"/>
      <c r="CX33" s="315" t="n"/>
      <c r="CY33" s="315" t="n"/>
      <c r="CZ33" s="315" t="n"/>
      <c r="DA33" s="315" t="n"/>
      <c r="DB33" s="315" t="n"/>
      <c r="DC33" s="315" t="n"/>
      <c r="DD33" s="315" t="n"/>
      <c r="DE33" s="315" t="n"/>
      <c r="DF33" s="315" t="n"/>
      <c r="DG33" s="315" t="n"/>
      <c r="DH33" s="315" t="n"/>
      <c r="DI33" s="315" t="n"/>
      <c r="DJ33" s="315" t="n"/>
      <c r="DK33" s="315" t="n"/>
      <c r="DL33" s="315" t="n"/>
      <c r="DM33" s="315" t="n"/>
      <c r="DN33" s="315" t="n"/>
      <c r="DO33" s="315" t="n"/>
      <c r="DP33" s="315" t="n"/>
      <c r="DQ33" s="315" t="n"/>
      <c r="DR33" s="315" t="n"/>
      <c r="DS33" s="315" t="n"/>
      <c r="DT33" s="315" t="n"/>
      <c r="DU33" s="315" t="n"/>
      <c r="DV33" s="315" t="n"/>
      <c r="DW33" s="315" t="n"/>
      <c r="DX33" s="315" t="n"/>
      <c r="DY33" s="315" t="n"/>
      <c r="DZ33" s="315" t="n"/>
      <c r="EA33" s="315" t="n"/>
      <c r="EB33" s="315" t="n"/>
      <c r="EC33" s="315" t="n"/>
      <c r="ED33" s="315" t="n"/>
      <c r="EE33" s="315" t="n"/>
      <c r="EF33" s="315" t="n"/>
      <c r="EG33" s="315" t="n"/>
      <c r="EH33" s="315" t="n"/>
      <c r="EI33" s="315" t="n"/>
      <c r="EJ33" s="315" t="n"/>
      <c r="EK33" s="315" t="n"/>
      <c r="EL33" s="315" t="n"/>
      <c r="EM33" s="315" t="n"/>
      <c r="EN33" s="315" t="n"/>
      <c r="EO33" s="315" t="n"/>
      <c r="EP33" s="315" t="n"/>
      <c r="EQ33" s="315" t="n"/>
      <c r="ER33" s="315" t="n"/>
      <c r="ES33" s="315" t="n"/>
      <c r="ET33" s="315" t="n"/>
      <c r="EU33" s="315" t="n"/>
      <c r="EV33" s="315" t="n"/>
      <c r="EW33" s="315" t="n"/>
      <c r="EX33" s="315" t="n"/>
      <c r="EY33" s="315" t="n"/>
      <c r="EZ33" s="315" t="n"/>
      <c r="FA33" s="315" t="n"/>
      <c r="FB33" s="315" t="n"/>
      <c r="FC33" s="315" t="n"/>
      <c r="FD33" s="315" t="n"/>
      <c r="FE33" s="315" t="n"/>
      <c r="FF33" s="315" t="n"/>
      <c r="FG33" s="315" t="n"/>
      <c r="FH33" s="315" t="n"/>
      <c r="FI33" s="315" t="n"/>
      <c r="FJ33" s="315" t="n"/>
      <c r="FK33" s="315" t="n"/>
      <c r="FL33" s="315" t="n"/>
      <c r="FM33" s="315" t="n"/>
      <c r="FN33" s="315" t="n"/>
      <c r="FO33" s="315" t="n"/>
      <c r="FP33" s="315" t="n"/>
      <c r="FQ33" s="315" t="n"/>
      <c r="FR33" s="315" t="n"/>
      <c r="FS33" s="315" t="n"/>
      <c r="FT33" s="315" t="n"/>
      <c r="FU33" s="315" t="n"/>
      <c r="FV33" s="315" t="n"/>
      <c r="FW33" s="315" t="n"/>
      <c r="FX33" s="315" t="n"/>
      <c r="FY33" s="315" t="n"/>
      <c r="FZ33" s="315" t="n"/>
      <c r="GA33" s="315" t="n"/>
      <c r="GB33" s="315" t="n"/>
      <c r="GC33" s="315" t="n"/>
      <c r="GD33" s="315" t="n"/>
      <c r="GE33" s="315" t="n"/>
      <c r="GF33" s="315" t="n"/>
      <c r="GG33" s="315" t="n"/>
      <c r="GH33" s="315" t="n"/>
      <c r="GI33" s="315" t="n"/>
      <c r="GJ33" s="315" t="n"/>
      <c r="GK33" s="315" t="n"/>
      <c r="GL33" s="315" t="n"/>
      <c r="GM33" s="315" t="n"/>
      <c r="GN33" s="315" t="n"/>
      <c r="GO33" s="315" t="n"/>
      <c r="GP33" s="315" t="n"/>
      <c r="GQ33" s="315" t="n"/>
      <c r="GR33" s="315" t="n"/>
      <c r="GS33" s="315" t="n"/>
      <c r="GT33" s="315" t="n"/>
      <c r="GU33" s="315" t="n"/>
      <c r="GV33" s="315" t="n"/>
      <c r="GW33" s="315" t="n"/>
      <c r="GX33" s="315" t="n"/>
      <c r="GY33" s="315" t="n"/>
      <c r="GZ33" s="315" t="n"/>
      <c r="HA33" s="315" t="n"/>
      <c r="HB33" s="315" t="n"/>
      <c r="HC33" s="315" t="n"/>
      <c r="HD33" s="315" t="n"/>
      <c r="HE33" s="315" t="n"/>
      <c r="HF33" s="315" t="n"/>
      <c r="HG33" s="315" t="n"/>
      <c r="HH33" s="315" t="n"/>
      <c r="HI33" s="315" t="n"/>
      <c r="HJ33" s="315" t="n"/>
      <c r="HK33" s="315" t="n"/>
      <c r="HL33" s="315" t="n"/>
      <c r="HM33" s="315" t="n"/>
      <c r="HN33" s="315" t="n"/>
      <c r="HO33" s="315" t="n"/>
      <c r="HP33" s="315" t="n"/>
      <c r="HQ33" s="315" t="n"/>
      <c r="HR33" s="315" t="n"/>
      <c r="HS33" s="315" t="n"/>
      <c r="HT33" s="315" t="n"/>
      <c r="HU33" s="315" t="n"/>
      <c r="HV33" s="315" t="n"/>
      <c r="HW33" s="315" t="n"/>
      <c r="HX33" s="315" t="n"/>
      <c r="HY33" s="315" t="n"/>
      <c r="HZ33" s="315" t="n"/>
      <c r="IA33" s="315" t="n"/>
      <c r="IB33" s="315" t="n"/>
      <c r="IC33" s="315" t="n"/>
      <c r="ID33" s="315" t="n"/>
      <c r="IE33" s="315" t="n"/>
      <c r="IF33" s="315" t="n"/>
      <c r="IG33" s="315" t="n"/>
      <c r="IH33" s="315" t="n"/>
      <c r="II33" s="315" t="n"/>
      <c r="IJ33" s="315" t="n"/>
      <c r="IK33" s="315" t="n"/>
      <c r="IL33" s="315" t="n"/>
      <c r="IM33" s="315" t="n"/>
      <c r="IN33" s="315" t="n"/>
      <c r="IO33" s="315" t="n"/>
      <c r="IP33" s="315" t="n"/>
      <c r="IQ33" s="315" t="n"/>
      <c r="IR33" s="315" t="n"/>
      <c r="IS33" s="315" t="n"/>
      <c r="IT33" s="315" t="n"/>
      <c r="IU33" s="315" t="n"/>
      <c r="IV33" s="315" t="n"/>
      <c r="IW33" s="315" t="n"/>
      <c r="IX33" s="315" t="n"/>
      <c r="IY33" s="315" t="n"/>
      <c r="IZ33" s="315" t="n"/>
      <c r="JA33" s="315" t="n"/>
      <c r="JB33" s="315" t="n"/>
      <c r="JC33" s="315" t="n"/>
      <c r="JD33" s="315" t="n"/>
      <c r="JE33" s="315" t="n"/>
      <c r="JF33" s="315" t="n"/>
      <c r="JG33" s="315" t="n"/>
      <c r="JH33" s="315" t="n"/>
      <c r="JI33" s="315" t="n"/>
      <c r="JJ33" s="315" t="n"/>
      <c r="JK33" s="315" t="n"/>
      <c r="JL33" s="315" t="n"/>
      <c r="JM33" s="315" t="n"/>
      <c r="JN33" s="315" t="n"/>
      <c r="JO33" s="315" t="n"/>
      <c r="JP33" s="315" t="n"/>
      <c r="JQ33" s="315" t="n"/>
      <c r="JR33" s="315" t="n"/>
      <c r="JS33" s="315" t="n"/>
      <c r="JT33" s="315" t="n"/>
      <c r="JU33" s="315" t="n"/>
      <c r="JV33" s="315" t="n"/>
      <c r="JW33" s="315" t="n"/>
      <c r="JX33" s="315" t="n"/>
      <c r="JY33" s="315" t="n"/>
      <c r="JZ33" s="315" t="n"/>
      <c r="KA33" s="315" t="n"/>
      <c r="KB33" s="315" t="n"/>
      <c r="KC33" s="315" t="n"/>
      <c r="KD33" s="315" t="n"/>
      <c r="KE33" s="315" t="n"/>
      <c r="KF33" s="315" t="n"/>
      <c r="KG33" s="315" t="n"/>
      <c r="KH33" s="315" t="n"/>
      <c r="KI33" s="315" t="n"/>
      <c r="KJ33" s="315" t="n"/>
      <c r="KK33" s="315" t="n"/>
      <c r="KL33" s="315" t="n"/>
      <c r="KM33" s="315" t="n"/>
      <c r="KN33" s="315" t="n"/>
      <c r="KO33" s="315" t="n"/>
      <c r="KP33" s="315" t="n"/>
      <c r="KQ33" s="315" t="n"/>
      <c r="KR33" s="315" t="n"/>
      <c r="KS33" s="315" t="n"/>
      <c r="KT33" s="315" t="n"/>
      <c r="KU33" s="315" t="n"/>
      <c r="KV33" s="315" t="n"/>
      <c r="KW33" s="315" t="n"/>
      <c r="KX33" s="315" t="n"/>
      <c r="KY33" s="315" t="n"/>
      <c r="KZ33" s="315" t="n"/>
      <c r="LA33" s="315" t="n"/>
      <c r="LB33" s="315" t="n"/>
      <c r="LC33" s="315" t="n"/>
      <c r="LD33" s="315" t="n"/>
      <c r="LE33" s="315" t="n"/>
      <c r="LF33" s="315" t="n"/>
      <c r="LG33" s="315" t="n"/>
      <c r="LH33" s="315" t="n"/>
      <c r="LI33" s="315" t="n"/>
      <c r="LJ33" s="315" t="n"/>
      <c r="LK33" s="315" t="n"/>
      <c r="LL33" s="315" t="n"/>
      <c r="LM33" s="315" t="n"/>
      <c r="LN33" s="315" t="n"/>
      <c r="LO33" s="315" t="n"/>
      <c r="LP33" s="315" t="n"/>
      <c r="LQ33" s="315" t="n"/>
      <c r="LR33" s="315" t="n"/>
      <c r="LS33" s="315" t="n"/>
      <c r="LT33" s="315" t="n"/>
      <c r="LU33" s="315" t="n"/>
      <c r="LV33" s="315" t="n"/>
      <c r="LW33" s="315" t="n"/>
      <c r="LX33" s="315" t="n"/>
      <c r="LY33" s="315" t="n"/>
      <c r="LZ33" s="315" t="n"/>
      <c r="MA33" s="315" t="n"/>
      <c r="MB33" s="315" t="n"/>
      <c r="MC33" s="315" t="n"/>
      <c r="MD33" s="315" t="n"/>
      <c r="ME33" s="315" t="n"/>
      <c r="MF33" s="315" t="n"/>
      <c r="MG33" s="315" t="n"/>
      <c r="MH33" s="315" t="n"/>
      <c r="MI33" s="315" t="n"/>
      <c r="MJ33" s="315" t="n"/>
      <c r="MK33" s="315" t="n"/>
      <c r="ML33" s="315" t="n"/>
      <c r="MM33" s="315" t="n"/>
      <c r="MN33" s="315" t="n"/>
      <c r="MO33" s="315" t="n"/>
      <c r="MP33" s="315" t="n"/>
      <c r="MQ33" s="315" t="n"/>
      <c r="MR33" s="315" t="n"/>
      <c r="MS33" s="315" t="n"/>
      <c r="MT33" s="315" t="n"/>
      <c r="MU33" s="315" t="n"/>
      <c r="MV33" s="315" t="n"/>
      <c r="MW33" s="315" t="n"/>
      <c r="MX33" s="315" t="n"/>
      <c r="MY33" s="315" t="n"/>
      <c r="MZ33" s="315" t="n"/>
      <c r="NA33" s="315" t="n"/>
      <c r="NB33" s="315" t="n"/>
      <c r="NC33" s="315" t="n"/>
      <c r="ND33" s="315" t="n"/>
      <c r="NE33" s="315" t="n"/>
      <c r="NF33" s="315" t="n"/>
      <c r="NG33" s="315" t="n"/>
      <c r="NH33" s="315" t="n"/>
      <c r="NI33" s="315" t="n"/>
      <c r="NJ33" s="315" t="n"/>
      <c r="NK33" s="315" t="n"/>
      <c r="NL33" s="315" t="n"/>
      <c r="NM33" s="315" t="n"/>
      <c r="NN33" s="315" t="n"/>
      <c r="NO33" s="315" t="n"/>
      <c r="NP33" s="315" t="n"/>
      <c r="NQ33" s="315" t="n"/>
      <c r="NR33" s="315" t="n"/>
      <c r="NS33" s="315" t="n"/>
      <c r="NT33" s="315" t="n"/>
      <c r="NU33" s="315" t="n"/>
      <c r="NV33" s="315" t="n"/>
      <c r="NW33" s="315" t="n"/>
      <c r="NX33" s="315" t="n"/>
      <c r="NY33" s="315" t="n"/>
      <c r="NZ33" s="315" t="n"/>
      <c r="OA33" s="315" t="n"/>
      <c r="OB33" s="315" t="n"/>
      <c r="OC33" s="315" t="n"/>
      <c r="OD33" s="315" t="n"/>
      <c r="OE33" s="315" t="n"/>
      <c r="OF33" s="315" t="n"/>
      <c r="OG33" s="315" t="n"/>
      <c r="OH33" s="315" t="n"/>
      <c r="OI33" s="315" t="n"/>
      <c r="OJ33" s="315" t="n"/>
      <c r="OK33" s="315" t="n"/>
      <c r="OL33" s="315" t="n"/>
      <c r="OM33" s="315" t="n"/>
      <c r="ON33" s="315" t="n"/>
      <c r="OO33" s="315" t="n"/>
      <c r="OP33" s="315" t="n"/>
      <c r="OQ33" s="315" t="n"/>
      <c r="OR33" s="315" t="n"/>
      <c r="OS33" s="315" t="n"/>
      <c r="OT33" s="315" t="n"/>
      <c r="OU33" s="315" t="n"/>
      <c r="OV33" s="315" t="n"/>
      <c r="OW33" s="315" t="n"/>
      <c r="OX33" s="315" t="n"/>
      <c r="OY33" s="315" t="n"/>
      <c r="OZ33" s="315" t="n"/>
      <c r="PA33" s="315" t="n"/>
      <c r="PB33" s="315" t="n"/>
      <c r="PC33" s="315" t="n"/>
      <c r="PD33" s="315" t="n"/>
      <c r="PE33" s="315" t="n"/>
      <c r="PF33" s="315" t="n"/>
      <c r="PG33" s="315" t="n"/>
      <c r="PH33" s="315" t="n"/>
      <c r="PI33" s="315" t="n"/>
      <c r="PJ33" s="315" t="n"/>
      <c r="PK33" s="315" t="n"/>
      <c r="PL33" s="315" t="n"/>
      <c r="PM33" s="315" t="n"/>
      <c r="PN33" s="315" t="n"/>
      <c r="PO33" s="315" t="n"/>
      <c r="PP33" s="315" t="n"/>
      <c r="PQ33" s="315" t="n"/>
      <c r="PR33" s="315" t="n"/>
      <c r="PS33" s="315" t="n"/>
      <c r="PT33" s="315" t="n"/>
      <c r="PU33" s="315" t="n"/>
      <c r="PV33" s="315" t="n"/>
      <c r="PW33" s="315" t="n"/>
      <c r="PX33" s="315" t="n"/>
      <c r="PY33" s="315" t="n"/>
      <c r="PZ33" s="315" t="n"/>
      <c r="QA33" s="315" t="n"/>
      <c r="QB33" s="315" t="n"/>
      <c r="QC33" s="315" t="n"/>
      <c r="QD33" s="315" t="n"/>
      <c r="QE33" s="315" t="n"/>
      <c r="QF33" s="315" t="n"/>
      <c r="QG33" s="315" t="n"/>
      <c r="QH33" s="315" t="n"/>
      <c r="QI33" s="315" t="n"/>
      <c r="QJ33" s="315" t="n"/>
      <c r="QK33" s="315" t="n"/>
      <c r="QL33" s="315" t="n"/>
      <c r="QM33" s="315" t="n"/>
      <c r="QN33" s="315" t="n"/>
      <c r="QO33" s="315" t="n"/>
      <c r="QP33" s="315" t="n"/>
      <c r="QQ33" s="315" t="n"/>
      <c r="QR33" s="315" t="n"/>
      <c r="QS33" s="315" t="n"/>
      <c r="QT33" s="315" t="n"/>
      <c r="QU33" s="315" t="n"/>
      <c r="QV33" s="315" t="n"/>
      <c r="QW33" s="315" t="n"/>
      <c r="QX33" s="315" t="n"/>
      <c r="QY33" s="315" t="n"/>
      <c r="QZ33" s="315" t="n"/>
      <c r="RA33" s="315" t="n"/>
      <c r="RB33" s="315" t="n"/>
      <c r="RC33" s="315" t="n"/>
      <c r="RD33" s="315" t="n"/>
      <c r="RE33" s="315" t="n"/>
      <c r="RF33" s="315" t="n"/>
      <c r="RG33" s="315" t="n"/>
      <c r="RH33" s="315" t="n"/>
      <c r="RI33" s="315" t="n"/>
      <c r="RJ33" s="315" t="n"/>
      <c r="RK33" s="315" t="n"/>
      <c r="RL33" s="315" t="n"/>
      <c r="RM33" s="315" t="n"/>
      <c r="RN33" s="315" t="n"/>
      <c r="RO33" s="315" t="n"/>
      <c r="RP33" s="315" t="n"/>
      <c r="RQ33" s="315" t="n"/>
      <c r="RR33" s="315" t="n"/>
      <c r="RS33" s="315" t="n"/>
      <c r="RT33" s="315" t="n"/>
      <c r="RU33" s="315" t="n"/>
      <c r="RV33" s="315" t="n"/>
      <c r="RW33" s="315" t="n"/>
      <c r="RX33" s="315" t="n"/>
      <c r="RY33" s="315" t="n"/>
      <c r="RZ33" s="315" t="n"/>
      <c r="SA33" s="315" t="n"/>
      <c r="SB33" s="315" t="n"/>
      <c r="SC33" s="315" t="n"/>
      <c r="SD33" s="315" t="n"/>
      <c r="SE33" s="315" t="n"/>
      <c r="SF33" s="315" t="n"/>
      <c r="SG33" s="315" t="n"/>
      <c r="SH33" s="315" t="n"/>
      <c r="SI33" s="315" t="n"/>
      <c r="SJ33" s="315" t="n"/>
      <c r="SK33" s="315" t="n"/>
      <c r="SL33" s="315" t="n"/>
      <c r="SM33" s="315" t="n"/>
      <c r="SN33" s="315" t="n"/>
      <c r="SO33" s="315" t="n"/>
      <c r="SP33" s="315" t="n"/>
      <c r="SQ33" s="315" t="n"/>
      <c r="SR33" s="315" t="n"/>
      <c r="SS33" s="315" t="n"/>
      <c r="ST33" s="315" t="n"/>
      <c r="SU33" s="315" t="n"/>
      <c r="SV33" s="315" t="n"/>
      <c r="SW33" s="315" t="n"/>
      <c r="SX33" s="315" t="n"/>
      <c r="SY33" s="315" t="n"/>
      <c r="SZ33" s="315" t="n"/>
      <c r="TA33" s="315" t="n"/>
      <c r="TB33" s="315" t="n"/>
      <c r="TC33" s="315" t="n"/>
      <c r="TD33" s="315" t="n"/>
      <c r="TE33" s="315" t="n"/>
      <c r="TF33" s="315" t="n"/>
      <c r="TG33" s="315" t="n"/>
      <c r="TH33" s="315" t="n"/>
      <c r="TI33" s="315" t="n"/>
      <c r="TJ33" s="315" t="n"/>
      <c r="TK33" s="315" t="n"/>
      <c r="TL33" s="315" t="n"/>
      <c r="TM33" s="315" t="n"/>
      <c r="TN33" s="315" t="n"/>
      <c r="TO33" s="315" t="n"/>
      <c r="TP33" s="315" t="n"/>
      <c r="TQ33" s="315" t="n"/>
      <c r="TR33" s="315" t="n"/>
      <c r="TS33" s="315" t="n"/>
      <c r="TT33" s="315" t="n"/>
      <c r="TU33" s="315" t="n"/>
      <c r="TV33" s="315" t="n"/>
      <c r="TW33" s="315" t="n"/>
      <c r="TX33" s="315" t="n"/>
      <c r="TY33" s="315" t="n"/>
      <c r="TZ33" s="315" t="n"/>
      <c r="UA33" s="315" t="n"/>
      <c r="UB33" s="315" t="n"/>
      <c r="UC33" s="315" t="n"/>
      <c r="UD33" s="315" t="n"/>
      <c r="UE33" s="315" t="n"/>
      <c r="UF33" s="315" t="n"/>
      <c r="UG33" s="315" t="n"/>
      <c r="UH33" s="315" t="n"/>
      <c r="UI33" s="315" t="n"/>
      <c r="UJ33" s="315" t="n"/>
      <c r="UK33" s="315" t="n"/>
      <c r="UL33" s="315" t="n"/>
      <c r="UM33" s="315" t="n"/>
      <c r="UN33" s="315" t="n"/>
      <c r="UO33" s="315" t="n"/>
      <c r="UP33" s="315" t="n"/>
      <c r="UQ33" s="315" t="n"/>
      <c r="UR33" s="315" t="n"/>
      <c r="US33" s="315" t="n"/>
      <c r="UT33" s="315" t="n"/>
      <c r="UU33" s="315" t="n"/>
      <c r="UV33" s="315" t="n"/>
      <c r="UW33" s="315" t="n"/>
      <c r="UX33" s="315" t="n"/>
      <c r="UY33" s="315" t="n"/>
      <c r="UZ33" s="315" t="n"/>
      <c r="VA33" s="315" t="n"/>
      <c r="VB33" s="315" t="n"/>
      <c r="VC33" s="315" t="n"/>
      <c r="VD33" s="315" t="n"/>
      <c r="VE33" s="315" t="n"/>
      <c r="VF33" s="315" t="n"/>
      <c r="VG33" s="315" t="n"/>
      <c r="VH33" s="315" t="n"/>
      <c r="VI33" s="315" t="n"/>
      <c r="VJ33" s="315" t="n"/>
      <c r="VK33" s="315" t="n"/>
      <c r="VL33" s="315" t="n"/>
      <c r="VM33" s="315" t="n"/>
      <c r="VN33" s="315" t="n"/>
      <c r="VO33" s="315" t="n"/>
      <c r="VP33" s="315" t="n"/>
      <c r="VQ33" s="315" t="n"/>
      <c r="VR33" s="315" t="n"/>
      <c r="VS33" s="315" t="n"/>
      <c r="VT33" s="315" t="n"/>
      <c r="VU33" s="315" t="n"/>
      <c r="VV33" s="315" t="n"/>
      <c r="VW33" s="315" t="n"/>
      <c r="VX33" s="315" t="n"/>
      <c r="VY33" s="315" t="n"/>
      <c r="VZ33" s="315" t="n"/>
      <c r="WA33" s="315" t="n"/>
      <c r="WB33" s="315" t="n"/>
      <c r="WC33" s="315" t="n"/>
      <c r="WD33" s="315" t="n"/>
      <c r="WE33" s="315" t="n"/>
      <c r="WF33" s="315" t="n"/>
      <c r="WG33" s="315" t="n"/>
      <c r="WH33" s="315" t="n"/>
      <c r="WI33" s="315" t="n"/>
      <c r="WJ33" s="315" t="n"/>
      <c r="WK33" s="315" t="n"/>
      <c r="WL33" s="315" t="n"/>
      <c r="WM33" s="315" t="n"/>
      <c r="WN33" s="315" t="n"/>
      <c r="WO33" s="315" t="n"/>
      <c r="WP33" s="315" t="n"/>
      <c r="WQ33" s="315" t="n"/>
      <c r="WR33" s="315" t="n"/>
      <c r="WS33" s="315" t="n"/>
      <c r="WT33" s="315" t="n"/>
      <c r="WU33" s="315" t="n"/>
      <c r="WV33" s="315" t="n"/>
      <c r="WW33" s="315" t="n"/>
      <c r="WX33" s="315" t="n"/>
      <c r="WY33" s="315" t="n"/>
      <c r="WZ33" s="315" t="n"/>
      <c r="XA33" s="315" t="n"/>
      <c r="XB33" s="315" t="n"/>
      <c r="XC33" s="315" t="n"/>
      <c r="XD33" s="315" t="n"/>
      <c r="XE33" s="315" t="n"/>
      <c r="XF33" s="315" t="n"/>
      <c r="XG33" s="315" t="n"/>
      <c r="XH33" s="315" t="n"/>
      <c r="XI33" s="315" t="n"/>
      <c r="XJ33" s="315" t="n"/>
      <c r="XK33" s="315" t="n"/>
      <c r="XL33" s="315" t="n"/>
      <c r="XM33" s="315" t="n"/>
      <c r="XN33" s="315" t="n"/>
      <c r="XO33" s="315" t="n"/>
      <c r="XP33" s="315" t="n"/>
      <c r="XQ33" s="315" t="n"/>
      <c r="XR33" s="315" t="n"/>
      <c r="XS33" s="315" t="n"/>
      <c r="XT33" s="315" t="n"/>
      <c r="XU33" s="315" t="n"/>
      <c r="XV33" s="315" t="n"/>
      <c r="XW33" s="315" t="n"/>
      <c r="XX33" s="315" t="n"/>
      <c r="XY33" s="315" t="n"/>
      <c r="XZ33" s="315" t="n"/>
      <c r="YA33" s="315" t="n"/>
      <c r="YB33" s="315" t="n"/>
      <c r="YC33" s="315" t="n"/>
      <c r="YD33" s="315" t="n"/>
      <c r="YE33" s="315" t="n"/>
      <c r="YF33" s="315" t="n"/>
      <c r="YG33" s="315" t="n"/>
      <c r="YH33" s="315" t="n"/>
      <c r="YI33" s="315" t="n"/>
      <c r="YJ33" s="315" t="n"/>
      <c r="YK33" s="315" t="n"/>
      <c r="YL33" s="315" t="n"/>
      <c r="YM33" s="315" t="n"/>
      <c r="YN33" s="315" t="n"/>
      <c r="YO33" s="315" t="n"/>
      <c r="YP33" s="315" t="n"/>
      <c r="YQ33" s="315" t="n"/>
      <c r="YR33" s="315" t="n"/>
      <c r="YS33" s="315" t="n"/>
      <c r="YT33" s="315" t="n"/>
      <c r="YU33" s="315" t="n"/>
      <c r="YV33" s="315" t="n"/>
      <c r="YW33" s="315" t="n"/>
      <c r="YX33" s="315" t="n"/>
      <c r="YY33" s="315" t="n"/>
      <c r="YZ33" s="315" t="n"/>
      <c r="ZA33" s="315" t="n"/>
      <c r="ZB33" s="315" t="n"/>
      <c r="ZC33" s="315" t="n"/>
      <c r="ZD33" s="315" t="n"/>
      <c r="ZE33" s="315" t="n"/>
      <c r="ZF33" s="315" t="n"/>
      <c r="ZG33" s="315" t="n"/>
      <c r="ZH33" s="315" t="n"/>
      <c r="ZI33" s="315" t="n"/>
      <c r="ZJ33" s="315" t="n"/>
      <c r="ZK33" s="315" t="n"/>
      <c r="ZL33" s="315" t="n"/>
      <c r="ZM33" s="315" t="n"/>
      <c r="ZN33" s="315" t="n"/>
      <c r="ZO33" s="315" t="n"/>
      <c r="ZP33" s="315" t="n"/>
      <c r="ZQ33" s="315" t="n"/>
      <c r="ZR33" s="315" t="n"/>
      <c r="ZS33" s="315" t="n"/>
      <c r="ZT33" s="315" t="n"/>
      <c r="ZU33" s="315" t="n"/>
      <c r="ZV33" s="315" t="n"/>
      <c r="ZW33" s="315" t="n"/>
      <c r="ZX33" s="315" t="n"/>
      <c r="ZY33" s="315" t="n"/>
      <c r="ZZ33" s="315" t="n"/>
      <c r="AAA33" s="315" t="n"/>
      <c r="AAB33" s="315" t="n"/>
      <c r="AAC33" s="315" t="n"/>
      <c r="AAD33" s="315" t="n"/>
      <c r="AAE33" s="315" t="n"/>
      <c r="AAF33" s="315" t="n"/>
      <c r="AAG33" s="315" t="n"/>
      <c r="AAH33" s="315" t="n"/>
      <c r="AAI33" s="315" t="n"/>
      <c r="AAJ33" s="315" t="n"/>
      <c r="AAK33" s="315" t="n"/>
      <c r="AAL33" s="315" t="n"/>
      <c r="AAM33" s="315" t="n"/>
      <c r="AAN33" s="315" t="n"/>
      <c r="AAO33" s="315" t="n"/>
      <c r="AAP33" s="315" t="n"/>
      <c r="AAQ33" s="315" t="n"/>
      <c r="AAR33" s="315" t="n"/>
      <c r="AAS33" s="315" t="n"/>
      <c r="AAT33" s="315" t="n"/>
      <c r="AAU33" s="315" t="n"/>
      <c r="AAV33" s="315" t="n"/>
      <c r="AAW33" s="315" t="n"/>
      <c r="AAX33" s="315" t="n"/>
      <c r="AAY33" s="315" t="n"/>
      <c r="AAZ33" s="315" t="n"/>
      <c r="ABA33" s="315" t="n"/>
      <c r="ABB33" s="315" t="n"/>
      <c r="ABC33" s="315" t="n"/>
      <c r="ABD33" s="315" t="n"/>
      <c r="ABE33" s="315" t="n"/>
      <c r="ABF33" s="315" t="n"/>
      <c r="ABG33" s="315" t="n"/>
      <c r="ABH33" s="315" t="n"/>
      <c r="ABI33" s="315" t="n"/>
      <c r="ABJ33" s="315" t="n"/>
      <c r="ABK33" s="315" t="n"/>
      <c r="ABL33" s="315" t="n"/>
      <c r="ABM33" s="315" t="n"/>
      <c r="ABN33" s="315" t="n"/>
      <c r="ABO33" s="315" t="n"/>
      <c r="ABP33" s="315" t="n"/>
      <c r="ABQ33" s="315" t="n"/>
      <c r="ABR33" s="315" t="n"/>
      <c r="ABS33" s="315" t="n"/>
      <c r="ABT33" s="315" t="n"/>
      <c r="ABU33" s="315" t="n"/>
      <c r="ABV33" s="315" t="n"/>
      <c r="ABW33" s="315" t="n"/>
      <c r="ABX33" s="315" t="n"/>
      <c r="ABY33" s="315" t="n"/>
      <c r="ABZ33" s="315" t="n"/>
      <c r="ACA33" s="315" t="n"/>
      <c r="ACB33" s="315" t="n"/>
      <c r="ACC33" s="315" t="n"/>
      <c r="ACD33" s="315" t="n"/>
      <c r="ACE33" s="315" t="n"/>
      <c r="ACF33" s="315" t="n"/>
      <c r="ACG33" s="315" t="n"/>
      <c r="ACH33" s="315" t="n"/>
      <c r="ACI33" s="315" t="n"/>
      <c r="ACJ33" s="315" t="n"/>
      <c r="ACK33" s="315" t="n"/>
      <c r="ACL33" s="315" t="n"/>
      <c r="ACM33" s="315" t="n"/>
      <c r="ACN33" s="315" t="n"/>
      <c r="ACO33" s="315" t="n"/>
      <c r="ACP33" s="315" t="n"/>
      <c r="ACQ33" s="315" t="n"/>
      <c r="ACR33" s="315" t="n"/>
      <c r="ACS33" s="315" t="n"/>
      <c r="ACT33" s="315" t="n"/>
      <c r="ACU33" s="315" t="n"/>
      <c r="ACV33" s="315" t="n"/>
      <c r="ACW33" s="315" t="n"/>
      <c r="ACX33" s="315" t="n"/>
      <c r="ACY33" s="315" t="n"/>
      <c r="ACZ33" s="315" t="n"/>
      <c r="ADA33" s="315" t="n"/>
      <c r="ADB33" s="315" t="n"/>
      <c r="ADC33" s="315" t="n"/>
      <c r="ADD33" s="315" t="n"/>
      <c r="ADE33" s="315" t="n"/>
      <c r="ADF33" s="315" t="n"/>
      <c r="ADG33" s="315" t="n"/>
      <c r="ADH33" s="315" t="n"/>
      <c r="ADI33" s="315" t="n"/>
      <c r="ADJ33" s="315" t="n"/>
      <c r="ADK33" s="315" t="n"/>
      <c r="ADL33" s="315" t="n"/>
      <c r="ADM33" s="315" t="n"/>
      <c r="ADN33" s="315" t="n"/>
      <c r="ADO33" s="315" t="n"/>
      <c r="ADP33" s="315" t="n"/>
      <c r="ADQ33" s="315" t="n"/>
      <c r="ADR33" s="315" t="n"/>
      <c r="ADS33" s="315" t="n"/>
      <c r="ADT33" s="315" t="n"/>
      <c r="ADU33" s="315" t="n"/>
      <c r="ADV33" s="315" t="n"/>
      <c r="ADW33" s="315" t="n"/>
      <c r="ADX33" s="315" t="n"/>
      <c r="ADY33" s="315" t="n"/>
      <c r="ADZ33" s="315" t="n"/>
      <c r="AEA33" s="315" t="n"/>
      <c r="AEB33" s="315" t="n"/>
      <c r="AEC33" s="315" t="n"/>
      <c r="AED33" s="315" t="n"/>
      <c r="AEE33" s="315" t="n"/>
      <c r="AEF33" s="315" t="n"/>
      <c r="AEG33" s="315" t="n"/>
      <c r="AEH33" s="315" t="n"/>
      <c r="AEI33" s="315" t="n"/>
      <c r="AEJ33" s="315" t="n"/>
      <c r="AEK33" s="315" t="n"/>
      <c r="AEL33" s="315" t="n"/>
      <c r="AEM33" s="315" t="n"/>
      <c r="AEN33" s="315" t="n"/>
      <c r="AEO33" s="315" t="n"/>
      <c r="AEP33" s="315" t="n"/>
      <c r="AEQ33" s="315" t="n"/>
      <c r="AER33" s="315" t="n"/>
      <c r="AES33" s="315" t="n"/>
      <c r="AET33" s="315" t="n"/>
      <c r="AEU33" s="315" t="n"/>
      <c r="AEV33" s="315" t="n"/>
      <c r="AEW33" s="315" t="n"/>
      <c r="AEX33" s="315" t="n"/>
      <c r="AEY33" s="315" t="n"/>
      <c r="AEZ33" s="315" t="n"/>
      <c r="AFA33" s="315" t="n"/>
      <c r="AFB33" s="315" t="n"/>
      <c r="AFC33" s="315" t="n"/>
      <c r="AFD33" s="315" t="n"/>
      <c r="AFE33" s="315" t="n"/>
      <c r="AFF33" s="315" t="n"/>
      <c r="AFG33" s="315" t="n"/>
      <c r="AFH33" s="315" t="n"/>
      <c r="AFI33" s="315" t="n"/>
      <c r="AFJ33" s="315" t="n"/>
      <c r="AFK33" s="315" t="n"/>
      <c r="AFL33" s="315" t="n"/>
      <c r="AFM33" s="315" t="n"/>
      <c r="AFN33" s="315" t="n"/>
      <c r="AFO33" s="315" t="n"/>
      <c r="AFP33" s="315" t="n"/>
      <c r="AFQ33" s="315" t="n"/>
      <c r="AFR33" s="315" t="n"/>
      <c r="AFS33" s="315" t="n"/>
      <c r="AFT33" s="315" t="n"/>
      <c r="AFU33" s="315" t="n"/>
      <c r="AFV33" s="315" t="n"/>
      <c r="AFW33" s="315" t="n"/>
      <c r="AFX33" s="315" t="n"/>
      <c r="AFY33" s="315" t="n"/>
      <c r="AFZ33" s="315" t="n"/>
      <c r="AGA33" s="315" t="n"/>
      <c r="AGB33" s="315" t="n"/>
      <c r="AGC33" s="315" t="n"/>
      <c r="AGD33" s="315" t="n"/>
      <c r="AGE33" s="315" t="n"/>
      <c r="AGF33" s="315" t="n"/>
      <c r="AGG33" s="315" t="n"/>
      <c r="AGH33" s="315" t="n"/>
      <c r="AGI33" s="315" t="n"/>
      <c r="AGJ33" s="315" t="n"/>
      <c r="AGK33" s="315" t="n"/>
      <c r="AGL33" s="315" t="n"/>
      <c r="AGM33" s="315" t="n"/>
      <c r="AGN33" s="315" t="n"/>
      <c r="AGO33" s="315" t="n"/>
      <c r="AGP33" s="315" t="n"/>
      <c r="AGQ33" s="315" t="n"/>
      <c r="AGR33" s="315" t="n"/>
      <c r="AGS33" s="315" t="n"/>
      <c r="AGT33" s="315" t="n"/>
      <c r="AGU33" s="315" t="n"/>
      <c r="AGV33" s="315" t="n"/>
      <c r="AGW33" s="315" t="n"/>
      <c r="AGX33" s="315" t="n"/>
      <c r="AGY33" s="315" t="n"/>
      <c r="AGZ33" s="315" t="n"/>
      <c r="AHA33" s="315" t="n"/>
      <c r="AHB33" s="315" t="n"/>
      <c r="AHC33" s="315" t="n"/>
      <c r="AHD33" s="315" t="n"/>
      <c r="AHE33" s="315" t="n"/>
      <c r="AHF33" s="315" t="n"/>
      <c r="AHG33" s="315" t="n"/>
      <c r="AHH33" s="315" t="n"/>
      <c r="AHI33" s="315" t="n"/>
      <c r="AHJ33" s="315" t="n"/>
      <c r="AHK33" s="315" t="n"/>
      <c r="AHL33" s="315" t="n"/>
      <c r="AHM33" s="315" t="n"/>
      <c r="AHN33" s="315" t="n"/>
      <c r="AHO33" s="315" t="n"/>
      <c r="AHP33" s="315" t="n"/>
      <c r="AHQ33" s="315" t="n"/>
      <c r="AHR33" s="315" t="n"/>
      <c r="AHS33" s="315" t="n"/>
      <c r="AHT33" s="315" t="n"/>
      <c r="AHU33" s="315" t="n"/>
      <c r="AHV33" s="315" t="n"/>
      <c r="AHW33" s="315" t="n"/>
      <c r="AHX33" s="315" t="n"/>
      <c r="AHY33" s="315" t="n"/>
      <c r="AHZ33" s="315" t="n"/>
      <c r="AIA33" s="315" t="n"/>
      <c r="AIB33" s="315" t="n"/>
      <c r="AIC33" s="315" t="n"/>
      <c r="AID33" s="315" t="n"/>
      <c r="AIE33" s="315" t="n"/>
      <c r="AIF33" s="315" t="n"/>
      <c r="AIG33" s="315" t="n"/>
      <c r="AIH33" s="315" t="n"/>
      <c r="AII33" s="315" t="n"/>
      <c r="AIJ33" s="315" t="n"/>
      <c r="AIK33" s="315" t="n"/>
      <c r="AIL33" s="315" t="n"/>
      <c r="AIM33" s="315" t="n"/>
      <c r="AIN33" s="315" t="n"/>
      <c r="AIO33" s="315" t="n"/>
      <c r="AIP33" s="315" t="n"/>
      <c r="AIQ33" s="315" t="n"/>
      <c r="AIR33" s="315" t="n"/>
      <c r="AIS33" s="315" t="n"/>
      <c r="AIT33" s="315" t="n"/>
      <c r="AIU33" s="315" t="n"/>
      <c r="AIV33" s="315" t="n"/>
      <c r="AIW33" s="315" t="n"/>
      <c r="AIX33" s="315" t="n"/>
      <c r="AIY33" s="315" t="n"/>
      <c r="AIZ33" s="315" t="n"/>
      <c r="AJA33" s="315" t="n"/>
      <c r="AJB33" s="315" t="n"/>
      <c r="AJC33" s="315" t="n"/>
      <c r="AJD33" s="315" t="n"/>
      <c r="AJE33" s="315" t="n"/>
      <c r="AJF33" s="315" t="n"/>
      <c r="AJG33" s="315" t="n"/>
      <c r="AJH33" s="315" t="n"/>
      <c r="AJI33" s="315" t="n"/>
      <c r="AJJ33" s="315" t="n"/>
      <c r="AJK33" s="315" t="n"/>
      <c r="AJL33" s="315" t="n"/>
      <c r="AJM33" s="315" t="n"/>
      <c r="AJN33" s="315" t="n"/>
      <c r="AJO33" s="315" t="n"/>
      <c r="AJP33" s="315" t="n"/>
      <c r="AJQ33" s="315" t="n"/>
      <c r="AJR33" s="315" t="n"/>
      <c r="AJS33" s="315" t="n"/>
      <c r="AJT33" s="315" t="n"/>
      <c r="AJU33" s="315" t="n"/>
      <c r="AJV33" s="315" t="n"/>
      <c r="AJW33" s="315" t="n"/>
      <c r="AJX33" s="315" t="n"/>
      <c r="AJY33" s="315" t="n"/>
      <c r="AJZ33" s="315" t="n"/>
      <c r="AKA33" s="315" t="n"/>
      <c r="AKB33" s="315" t="n"/>
      <c r="AKC33" s="315" t="n"/>
      <c r="AKD33" s="315" t="n"/>
      <c r="AKE33" s="315" t="n"/>
      <c r="AKF33" s="315" t="n"/>
      <c r="AKG33" s="315" t="n"/>
      <c r="AKH33" s="315" t="n"/>
      <c r="AKI33" s="315" t="n"/>
      <c r="AKJ33" s="315" t="n"/>
      <c r="AKK33" s="315" t="n"/>
      <c r="AKL33" s="315" t="n"/>
      <c r="AKM33" s="315" t="n"/>
      <c r="AKN33" s="315" t="n"/>
      <c r="AKO33" s="315" t="n"/>
      <c r="AKP33" s="315" t="n"/>
      <c r="AKQ33" s="315" t="n"/>
      <c r="AKR33" s="315" t="n"/>
      <c r="AKS33" s="315" t="n"/>
      <c r="AKT33" s="315" t="n"/>
      <c r="AKU33" s="315" t="n"/>
      <c r="AKV33" s="315" t="n"/>
      <c r="AKW33" s="315" t="n"/>
      <c r="AKX33" s="315" t="n"/>
      <c r="AKY33" s="315" t="n"/>
      <c r="AKZ33" s="315" t="n"/>
      <c r="ALA33" s="315" t="n"/>
      <c r="ALB33" s="315" t="n"/>
      <c r="ALC33" s="315" t="n"/>
      <c r="ALD33" s="315" t="n"/>
      <c r="ALE33" s="315" t="n"/>
      <c r="ALF33" s="315" t="n"/>
      <c r="ALG33" s="315" t="n"/>
      <c r="ALH33" s="315" t="n"/>
      <c r="ALI33" s="315" t="n"/>
      <c r="ALJ33" s="315" t="n"/>
      <c r="ALK33" s="315" t="n"/>
      <c r="ALL33" s="315" t="n"/>
      <c r="ALM33" s="315" t="n"/>
      <c r="ALN33" s="315" t="n"/>
      <c r="ALO33" s="315" t="n"/>
      <c r="ALP33" s="315" t="n"/>
      <c r="ALQ33" s="315" t="n"/>
      <c r="ALR33" s="315" t="n"/>
      <c r="ALS33" s="315" t="n"/>
      <c r="ALT33" s="315" t="n"/>
      <c r="ALU33" s="315" t="n"/>
      <c r="ALV33" s="315" t="n"/>
      <c r="ALW33" s="315" t="n"/>
      <c r="ALX33" s="315" t="n"/>
      <c r="ALY33" s="315" t="n"/>
      <c r="ALZ33" s="315" t="n"/>
      <c r="AMA33" s="315" t="n"/>
      <c r="AMB33" s="315" t="n"/>
      <c r="AMC33" s="315" t="n"/>
      <c r="AMD33" s="315" t="n"/>
      <c r="AME33" s="315" t="n"/>
      <c r="AMF33" s="315" t="n"/>
      <c r="AMG33" s="315" t="n"/>
      <c r="AMH33" s="315" t="n"/>
      <c r="AMI33" s="315" t="n"/>
      <c r="AMJ33" s="315" t="n"/>
      <c r="AMK33" s="315" t="n"/>
    </row>
    <row r="34" ht="9" customFormat="1" customHeight="1" s="770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Format="1" customHeight="1" s="770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339" t="inlineStr">
        <is>
          <t>RC108</t>
        </is>
      </c>
      <c r="B36" s="971" t="n">
        <v>0</v>
      </c>
      <c r="C36" s="792" t="n"/>
      <c r="D36" s="340" t="n"/>
      <c r="E36" s="340" t="n"/>
      <c r="F36" s="340" t="n"/>
      <c r="G36" s="340" t="n"/>
      <c r="H36" s="340" t="n"/>
      <c r="I36" s="340" t="n"/>
      <c r="J36" s="792" t="n"/>
    </row>
    <row r="37" ht="17.5" customHeight="1" s="885">
      <c r="A37" s="339" t="inlineStr">
        <is>
          <t>RC109</t>
        </is>
      </c>
      <c r="B37" s="971" t="n">
        <v>0.2</v>
      </c>
      <c r="C37" s="340" t="n"/>
      <c r="D37" s="340" t="n"/>
      <c r="E37" s="340" t="n"/>
      <c r="F37" s="340" t="n"/>
      <c r="G37" s="340" t="n"/>
      <c r="H37" s="340" t="n"/>
      <c r="I37" s="340" t="n"/>
      <c r="J37" s="340" t="n"/>
    </row>
    <row r="38" ht="17.5" customHeight="1" s="885">
      <c r="A38" s="339" t="inlineStr">
        <is>
          <t>RC110</t>
        </is>
      </c>
      <c r="B38" s="971" t="n">
        <v>0.5</v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17.5" customHeight="1" s="885">
      <c r="A39" s="339" t="inlineStr">
        <is>
          <t>RC111</t>
        </is>
      </c>
      <c r="B39" s="971" t="n">
        <v>1</v>
      </c>
      <c r="C39" s="340" t="n"/>
      <c r="D39" s="340" t="n"/>
      <c r="E39" s="340" t="n"/>
      <c r="F39" s="340" t="n"/>
      <c r="G39" s="340" t="n"/>
      <c r="H39" s="340" t="n"/>
      <c r="I39" s="340" t="n"/>
      <c r="J39" s="340" t="n"/>
    </row>
    <row r="40" ht="17.5" customHeight="1" s="885">
      <c r="A40" s="339" t="inlineStr">
        <is>
          <t>RC112</t>
        </is>
      </c>
      <c r="B40" s="971" t="n">
        <v>1.5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8" customHeight="1" s="885">
      <c r="A41" s="339" t="inlineStr">
        <is>
          <t>RC113</t>
        </is>
      </c>
      <c r="B41" s="335" t="inlineStr">
        <is>
          <t>Total</t>
        </is>
      </c>
      <c r="C41" s="340" t="n"/>
      <c r="D41" s="340" t="n"/>
      <c r="E41" s="340" t="n"/>
      <c r="F41" s="340" t="n"/>
      <c r="G41" s="340" t="n"/>
      <c r="H41" s="340" t="n"/>
      <c r="I41" s="340" t="n"/>
      <c r="J41" s="340" t="n"/>
    </row>
    <row r="42" ht="9" customHeight="1" s="885">
      <c r="A42" s="776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RC114</t>
        </is>
      </c>
      <c r="B43" s="336" t="inlineStr">
        <is>
          <t>TOTAL EXPOSITIONS SUR LES OP</t>
        </is>
      </c>
      <c r="C43" s="341">
        <f>C17+C25+C33+C41</f>
        <v/>
      </c>
      <c r="D43" s="341">
        <f>D17+D25+D33+D41</f>
        <v/>
      </c>
      <c r="E43" s="341">
        <f>E17+E25+E33+E41</f>
        <v/>
      </c>
      <c r="F43" s="341">
        <f>F17+F25+F33+F41</f>
        <v/>
      </c>
      <c r="G43" s="341">
        <f>G17+G25+G33+G41</f>
        <v/>
      </c>
      <c r="H43" s="341">
        <f>H17+H25+H33+H41</f>
        <v/>
      </c>
      <c r="I43" s="341">
        <f>I17+I25+I33+I41</f>
        <v/>
      </c>
      <c r="J43" s="341">
        <f>J17+J25+J33+J41</f>
        <v/>
      </c>
    </row>
    <row r="44" ht="9" customHeight="1" s="885">
      <c r="B44" s="777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Format="1" customHeight="1" s="770"/>
    <row r="46" ht="9" customFormat="1" customHeight="1" s="770"/>
    <row r="47" ht="9" customFormat="1" customHeight="1" s="770"/>
    <row r="48" ht="9" customFormat="1" customHeight="1" s="770"/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U2JtxYCnreX5HUPemZYuA==" formatRows="1" sort="1" spinCount="100000" hashValue="CI7EWzMCfLdxcXCY37aaUbgdzgBhrHMdEeV1VD6Q5w/G3ipxx3P2y7Bcn27v0fVT+RWCvbxGBROp0E+VjdqaAg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zoomScale="60" zoomScaleNormal="60" workbookViewId="0">
      <selection activeCell="B8" sqref="B8:B9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BANQUES MULTILATERALES DE DEVELOPPEMENT (BMD)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EP14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5.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RC115</t>
        </is>
      </c>
      <c r="B12" s="971" t="n">
        <v>0</v>
      </c>
      <c r="C12" s="340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RC116</t>
        </is>
      </c>
      <c r="B13" s="971" t="n">
        <v>0.2</v>
      </c>
      <c r="C13" s="340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RC117</t>
        </is>
      </c>
      <c r="B14" s="971" t="n">
        <v>0.5</v>
      </c>
      <c r="C14" s="340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RC118</t>
        </is>
      </c>
      <c r="B15" s="971" t="n">
        <v>1</v>
      </c>
      <c r="C15" s="340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RC119</t>
        </is>
      </c>
      <c r="B16" s="971" t="n">
        <v>1.5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8" customFormat="1" customHeight="1" s="315">
      <c r="A17" s="869" t="inlineStr">
        <is>
          <t>RC120</t>
        </is>
      </c>
      <c r="B17" s="328" t="inlineStr">
        <is>
          <t>Total</t>
        </is>
      </c>
      <c r="C17" s="341" t="n"/>
      <c r="D17" s="341" t="n"/>
      <c r="E17" s="341" t="n"/>
      <c r="F17" s="341" t="n"/>
      <c r="G17" s="341" t="n"/>
      <c r="H17" s="341" t="n"/>
      <c r="I17" s="341" t="n"/>
      <c r="J17" s="341" t="n"/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RC121</t>
        </is>
      </c>
      <c r="B20" s="971" t="n">
        <v>0</v>
      </c>
      <c r="C20" s="340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869" t="inlineStr">
        <is>
          <t>RC122</t>
        </is>
      </c>
      <c r="B21" s="971" t="n">
        <v>0.2</v>
      </c>
      <c r="C21" s="340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869" t="inlineStr">
        <is>
          <t>RC123</t>
        </is>
      </c>
      <c r="B22" s="971" t="n">
        <v>0.5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RC124</t>
        </is>
      </c>
      <c r="B23" s="971" t="n">
        <v>1</v>
      </c>
      <c r="C23" s="340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RC125</t>
        </is>
      </c>
      <c r="B24" s="971" t="n">
        <v>1.5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Format="1" customHeight="1" s="315">
      <c r="A25" s="869" t="inlineStr">
        <is>
          <t>RC126</t>
        </is>
      </c>
      <c r="B25" s="328" t="inlineStr">
        <is>
          <t>Total</t>
        </is>
      </c>
      <c r="C25" s="341" t="n"/>
      <c r="D25" s="341" t="n"/>
      <c r="E25" s="341" t="n"/>
      <c r="F25" s="341" t="n"/>
      <c r="G25" s="341" t="n"/>
      <c r="H25" s="341" t="n"/>
      <c r="I25" s="341" t="n"/>
      <c r="J25" s="341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RC127</t>
        </is>
      </c>
      <c r="B28" s="971" t="n">
        <v>0</v>
      </c>
      <c r="C28" s="340" t="n"/>
      <c r="D28" s="340" t="n"/>
      <c r="E28" s="340" t="n"/>
      <c r="F28" s="340" t="n"/>
      <c r="G28" s="340" t="n"/>
      <c r="H28" s="340" t="n"/>
      <c r="I28" s="340" t="n"/>
      <c r="J28" s="792" t="n"/>
    </row>
    <row r="29" ht="17.5" customHeight="1" s="885">
      <c r="A29" s="869" t="inlineStr">
        <is>
          <t>RC128</t>
        </is>
      </c>
      <c r="B29" s="971" t="n">
        <v>0.2</v>
      </c>
      <c r="C29" s="340" t="n"/>
      <c r="D29" s="340" t="n"/>
      <c r="E29" s="340" t="n"/>
      <c r="F29" s="340" t="n"/>
      <c r="G29" s="340" t="n"/>
      <c r="H29" s="340" t="n"/>
      <c r="I29" s="340" t="n"/>
      <c r="J29" s="340" t="n"/>
    </row>
    <row r="30" ht="17.5" customHeight="1" s="885">
      <c r="A30" s="869" t="inlineStr">
        <is>
          <t>RC129</t>
        </is>
      </c>
      <c r="B30" s="971" t="n">
        <v>0.5</v>
      </c>
      <c r="C30" s="340" t="n"/>
      <c r="D30" s="340" t="n"/>
      <c r="E30" s="340" t="n"/>
      <c r="F30" s="340" t="n"/>
      <c r="G30" s="340" t="n"/>
      <c r="H30" s="340" t="n"/>
      <c r="I30" s="340" t="n"/>
      <c r="J30" s="340" t="n"/>
    </row>
    <row r="31" ht="17.5" customHeight="1" s="885">
      <c r="A31" s="869" t="inlineStr">
        <is>
          <t>RC130</t>
        </is>
      </c>
      <c r="B31" s="971" t="n">
        <v>1</v>
      </c>
      <c r="C31" s="340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RC131</t>
        </is>
      </c>
      <c r="B32" s="971" t="n">
        <v>1.5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8" customFormat="1" customHeight="1" s="315">
      <c r="A33" s="869" t="inlineStr">
        <is>
          <t>RC132</t>
        </is>
      </c>
      <c r="B33" s="328" t="inlineStr">
        <is>
          <t>Total</t>
        </is>
      </c>
      <c r="C33" s="341" t="n"/>
      <c r="D33" s="341" t="n"/>
      <c r="E33" s="341" t="n"/>
      <c r="F33" s="341" t="n"/>
      <c r="G33" s="341" t="n"/>
      <c r="H33" s="341" t="n"/>
      <c r="I33" s="341" t="n"/>
      <c r="J33" s="341" t="n"/>
    </row>
    <row r="34" ht="9" customHeight="1" s="885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Height="1" s="885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869" t="inlineStr">
        <is>
          <t>RC133</t>
        </is>
      </c>
      <c r="B36" s="971" t="n">
        <v>0</v>
      </c>
      <c r="C36" s="340" t="n"/>
      <c r="D36" s="340" t="n"/>
      <c r="E36" s="340" t="n"/>
      <c r="F36" s="340" t="n"/>
      <c r="G36" s="340" t="n"/>
      <c r="H36" s="340" t="n"/>
      <c r="I36" s="340" t="n"/>
      <c r="J36" s="792" t="n"/>
    </row>
    <row r="37" ht="17.5" customHeight="1" s="885">
      <c r="A37" s="869" t="inlineStr">
        <is>
          <t>RC134</t>
        </is>
      </c>
      <c r="B37" s="971" t="n">
        <v>0.2</v>
      </c>
      <c r="C37" s="340" t="n"/>
      <c r="D37" s="340" t="n"/>
      <c r="E37" s="340" t="n"/>
      <c r="F37" s="340" t="n"/>
      <c r="G37" s="340" t="n"/>
      <c r="H37" s="340" t="n"/>
      <c r="I37" s="340" t="n"/>
      <c r="J37" s="340" t="n"/>
    </row>
    <row r="38" ht="17.5" customHeight="1" s="885">
      <c r="A38" s="869" t="inlineStr">
        <is>
          <t>RC135</t>
        </is>
      </c>
      <c r="B38" s="971" t="n">
        <v>0.5</v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17.5" customHeight="1" s="885">
      <c r="A39" s="869" t="inlineStr">
        <is>
          <t>RC136</t>
        </is>
      </c>
      <c r="B39" s="971" t="n">
        <v>1</v>
      </c>
      <c r="C39" s="340" t="n"/>
      <c r="D39" s="340" t="n"/>
      <c r="E39" s="340" t="n"/>
      <c r="F39" s="340" t="n"/>
      <c r="G39" s="340" t="n"/>
      <c r="H39" s="340" t="n"/>
      <c r="I39" s="340" t="n"/>
      <c r="J39" s="340" t="n"/>
    </row>
    <row r="40" ht="17.5" customHeight="1" s="885">
      <c r="A40" s="869" t="inlineStr">
        <is>
          <t>RC137</t>
        </is>
      </c>
      <c r="B40" s="971" t="n">
        <v>1.5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8" customFormat="1" customHeight="1" s="315">
      <c r="A41" s="869" t="inlineStr">
        <is>
          <t>RC138</t>
        </is>
      </c>
      <c r="B41" s="328" t="inlineStr">
        <is>
          <t>Total</t>
        </is>
      </c>
      <c r="C41" s="341" t="n"/>
      <c r="D41" s="341" t="n"/>
      <c r="E41" s="341" t="n"/>
      <c r="F41" s="341" t="n"/>
      <c r="G41" s="341" t="n"/>
      <c r="H41" s="341" t="n"/>
      <c r="I41" s="341" t="n"/>
      <c r="J41" s="341" t="n"/>
    </row>
    <row r="42" ht="9" customHeight="1" s="885">
      <c r="A42" s="769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RC139</t>
        </is>
      </c>
      <c r="B43" s="336" t="inlineStr">
        <is>
          <t>TOTAL EXPOSITIONS SUR LES BMD</t>
        </is>
      </c>
      <c r="C43" s="340" t="n"/>
      <c r="D43" s="340" t="n"/>
      <c r="E43" s="340" t="n"/>
      <c r="F43" s="340" t="n"/>
      <c r="G43" s="340" t="n"/>
      <c r="H43" s="340" t="n"/>
      <c r="I43" s="340" t="n"/>
      <c r="J43" s="340" t="n"/>
    </row>
    <row r="44" ht="9" customHeight="1" s="885">
      <c r="B44" s="770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tx3pfgGhIeYDXR7+/Ek/A==" formatRows="1" sort="1" spinCount="100000" hashValue="6IPWIQp1a2aDCjrobNnDOyya66lIjPEsbOG4tspIUjg6o54kqnrsiHACcLgSS85hahGlkke3bKZMG8zduQ0SuA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zoomScale="60" zoomScaleNormal="60" workbookViewId="0">
      <selection activeCell="C31" sqref="C31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INSTITUTIONS FINANCIERES  (IF)  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EP15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1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RC140</t>
        </is>
      </c>
      <c r="B12" s="971" t="n">
        <v>0</v>
      </c>
      <c r="C12" s="792" t="n"/>
      <c r="D12" s="340" t="n"/>
      <c r="E12" s="340" t="n"/>
      <c r="F12" s="340" t="n"/>
      <c r="G12" s="340" t="n"/>
      <c r="H12" s="340" t="n"/>
      <c r="I12" s="340">
        <f>H12+G12+F12+E12+D12+C12</f>
        <v/>
      </c>
      <c r="J12" s="792" t="n"/>
    </row>
    <row r="13" ht="17.5" customHeight="1" s="885">
      <c r="A13" s="869" t="inlineStr">
        <is>
          <t>RC141</t>
        </is>
      </c>
      <c r="B13" s="971" t="n">
        <v>0.2</v>
      </c>
      <c r="C13" s="340" t="n"/>
      <c r="D13" s="340" t="n"/>
      <c r="E13" s="340" t="n"/>
      <c r="F13" s="340" t="n"/>
      <c r="G13" s="340" t="n"/>
      <c r="H13" s="340" t="n"/>
      <c r="I13" s="340">
        <f>H13+G13+F13+E13+D13+C13</f>
        <v/>
      </c>
      <c r="J13" s="340">
        <f>I13*B13</f>
        <v/>
      </c>
    </row>
    <row r="14" ht="17.5" customHeight="1" s="885">
      <c r="A14" s="869" t="inlineStr">
        <is>
          <t>RC142</t>
        </is>
      </c>
      <c r="B14" s="971" t="n">
        <v>0.5</v>
      </c>
      <c r="C14" s="340" t="n"/>
      <c r="D14" s="340" t="n"/>
      <c r="E14" s="340" t="n"/>
      <c r="F14" s="340" t="n"/>
      <c r="G14" s="340" t="n"/>
      <c r="H14" s="340" t="n"/>
      <c r="I14" s="340">
        <f>H14+G14+F14+E14+D14+C14</f>
        <v/>
      </c>
      <c r="J14" s="340">
        <f>I14*B14</f>
        <v/>
      </c>
    </row>
    <row r="15" ht="17.5" customHeight="1" s="885">
      <c r="A15" s="869" t="inlineStr">
        <is>
          <t>RC143</t>
        </is>
      </c>
      <c r="B15" s="971" t="n">
        <v>1</v>
      </c>
      <c r="C15" s="340" t="n"/>
      <c r="D15" s="340" t="n"/>
      <c r="E15" s="340" t="n"/>
      <c r="F15" s="340" t="n"/>
      <c r="G15" s="340" t="n"/>
      <c r="H15" s="340" t="n"/>
      <c r="I15" s="340">
        <f>H15+G15+F15+E15+D15+C15</f>
        <v/>
      </c>
      <c r="J15" s="340">
        <f>I15*B15</f>
        <v/>
      </c>
    </row>
    <row r="16" ht="17.5" customHeight="1" s="885">
      <c r="A16" s="869" t="inlineStr">
        <is>
          <t>RC144</t>
        </is>
      </c>
      <c r="B16" s="971" t="n">
        <v>1.5</v>
      </c>
      <c r="C16" s="340" t="n"/>
      <c r="D16" s="340" t="n"/>
      <c r="E16" s="340" t="n"/>
      <c r="F16" s="340" t="n"/>
      <c r="G16" s="340" t="n"/>
      <c r="H16" s="340" t="n"/>
      <c r="I16" s="340">
        <f>H16+G16+F16+E16+D16+C16</f>
        <v/>
      </c>
      <c r="J16" s="340">
        <f>I16*B16</f>
        <v/>
      </c>
    </row>
    <row r="17" ht="18" customFormat="1" customHeight="1" s="315">
      <c r="A17" s="869" t="inlineStr">
        <is>
          <t>RC145</t>
        </is>
      </c>
      <c r="B17" s="328" t="inlineStr">
        <is>
          <t>Total</t>
        </is>
      </c>
      <c r="C17" s="340">
        <f>C12+C13+C14+C15+C16</f>
        <v/>
      </c>
      <c r="D17" s="340">
        <f>D12+D13+D14+D15+D16</f>
        <v/>
      </c>
      <c r="E17" s="340">
        <f>E12+E13+E14+E15+E16</f>
        <v/>
      </c>
      <c r="F17" s="340">
        <f>F12+F13+F14+F15+F16</f>
        <v/>
      </c>
      <c r="G17" s="340">
        <f>G12+G13+G14+G15+G16</f>
        <v/>
      </c>
      <c r="H17" s="340">
        <f>H12+H13+H14+H15+H16</f>
        <v/>
      </c>
      <c r="I17" s="340">
        <f>I12+I13+I14+I15+I16</f>
        <v/>
      </c>
      <c r="J17" s="340">
        <f>J12+J13+J14+J15+J16</f>
        <v/>
      </c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RC146</t>
        </is>
      </c>
      <c r="B20" s="971" t="n">
        <v>0</v>
      </c>
      <c r="C20" s="792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869" t="inlineStr">
        <is>
          <t>RC147</t>
        </is>
      </c>
      <c r="B21" s="971" t="n">
        <v>0.2</v>
      </c>
      <c r="C21" s="340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869" t="inlineStr">
        <is>
          <t>RC148</t>
        </is>
      </c>
      <c r="B22" s="971" t="n">
        <v>0.5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RC149</t>
        </is>
      </c>
      <c r="B23" s="971" t="n">
        <v>1</v>
      </c>
      <c r="C23" s="340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RC150</t>
        </is>
      </c>
      <c r="B24" s="971" t="n">
        <v>1.5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Height="1" s="885">
      <c r="A25" s="869" t="inlineStr">
        <is>
          <t>RC151</t>
        </is>
      </c>
      <c r="B25" s="335" t="inlineStr">
        <is>
          <t>Total</t>
        </is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RC152</t>
        </is>
      </c>
      <c r="B28" s="971" t="n">
        <v>0</v>
      </c>
      <c r="C28" s="792" t="n"/>
      <c r="D28" s="340" t="n"/>
      <c r="E28" s="340" t="n"/>
      <c r="F28" s="340" t="n"/>
      <c r="G28" s="340" t="n"/>
      <c r="H28" s="340" t="n"/>
      <c r="I28" s="340">
        <f>H28+G28+F28+E28+D28+C28</f>
        <v/>
      </c>
      <c r="J28" s="792" t="n"/>
    </row>
    <row r="29" ht="17.5" customHeight="1" s="885">
      <c r="A29" s="869" t="inlineStr">
        <is>
          <t>RC153</t>
        </is>
      </c>
      <c r="B29" s="971" t="n">
        <v>0.2</v>
      </c>
      <c r="C29" s="340" t="n"/>
      <c r="D29" s="340" t="n"/>
      <c r="E29" s="340" t="n"/>
      <c r="F29" s="340" t="n"/>
      <c r="G29" s="340" t="n"/>
      <c r="H29" s="340" t="n"/>
      <c r="I29" s="340">
        <f>H29+G29+F29+E29+D29+C29</f>
        <v/>
      </c>
      <c r="J29" s="340">
        <f>I29*B29</f>
        <v/>
      </c>
    </row>
    <row r="30" ht="17.5" customHeight="1" s="885">
      <c r="A30" s="869" t="inlineStr">
        <is>
          <t>RC154</t>
        </is>
      </c>
      <c r="B30" s="971" t="n">
        <v>0.5</v>
      </c>
      <c r="C30" s="340">
        <f>'EP10'!N34</f>
        <v/>
      </c>
      <c r="D30" s="340" t="n"/>
      <c r="E30" s="340" t="n"/>
      <c r="F30" s="340" t="n"/>
      <c r="G30" s="340" t="n"/>
      <c r="H30" s="340" t="n"/>
      <c r="I30" s="340">
        <f>H30+G30+F30+E30+D30+C30</f>
        <v/>
      </c>
      <c r="J30" s="340">
        <f>I30*B30</f>
        <v/>
      </c>
    </row>
    <row r="31" ht="17.5" customHeight="1" s="885">
      <c r="A31" s="869" t="inlineStr">
        <is>
          <t>RC155</t>
        </is>
      </c>
      <c r="B31" s="971" t="n">
        <v>1</v>
      </c>
      <c r="C31" s="340" t="n"/>
      <c r="D31" s="340" t="n"/>
      <c r="E31" s="340" t="n"/>
      <c r="F31" s="340" t="n"/>
      <c r="G31" s="340" t="n"/>
      <c r="H31" s="340" t="n"/>
      <c r="I31" s="340">
        <f>H31+G31+F31+E31+D31+C31</f>
        <v/>
      </c>
      <c r="J31" s="340">
        <f>I31*B31</f>
        <v/>
      </c>
    </row>
    <row r="32" ht="17.5" customHeight="1" s="885">
      <c r="A32" s="869" t="inlineStr">
        <is>
          <t>RC156</t>
        </is>
      </c>
      <c r="B32" s="971" t="n">
        <v>1.5</v>
      </c>
      <c r="C32" s="340" t="n"/>
      <c r="D32" s="340" t="n"/>
      <c r="E32" s="340" t="n"/>
      <c r="F32" s="340" t="n"/>
      <c r="G32" s="340" t="n"/>
      <c r="H32" s="340" t="n"/>
      <c r="I32" s="340">
        <f>H32+G32+F32+E32+D32+C32</f>
        <v/>
      </c>
      <c r="J32" s="340">
        <f>I32*B32</f>
        <v/>
      </c>
    </row>
    <row r="33" ht="18" customHeight="1" s="885">
      <c r="A33" s="869" t="inlineStr">
        <is>
          <t>RC157</t>
        </is>
      </c>
      <c r="B33" s="335" t="inlineStr">
        <is>
          <t>Total</t>
        </is>
      </c>
      <c r="C33" s="340">
        <f>C28+C29+C30+C31+C32</f>
        <v/>
      </c>
      <c r="D33" s="340">
        <f>D28+D29+D30+D31+D32</f>
        <v/>
      </c>
      <c r="E33" s="340">
        <f>E28+E29+E30+E31+E32</f>
        <v/>
      </c>
      <c r="F33" s="340">
        <f>F28+F29+F30+F31+F32</f>
        <v/>
      </c>
      <c r="G33" s="340">
        <f>G28+G29+G30+G31+G32</f>
        <v/>
      </c>
      <c r="H33" s="340">
        <f>H28+H29+H30+H31+H32</f>
        <v/>
      </c>
      <c r="I33" s="340">
        <f>I28+I29+I30+I31+I32</f>
        <v/>
      </c>
      <c r="J33" s="340">
        <f>J28+J29+J30+J31+J32</f>
        <v/>
      </c>
    </row>
    <row r="34" ht="9" customHeight="1" s="885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Height="1" s="885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869" t="inlineStr">
        <is>
          <t>RC158</t>
        </is>
      </c>
      <c r="B36" s="971" t="n">
        <v>0</v>
      </c>
      <c r="C36" s="792" t="n"/>
      <c r="D36" s="340" t="n"/>
      <c r="E36" s="340" t="n"/>
      <c r="F36" s="340" t="n"/>
      <c r="G36" s="340" t="n"/>
      <c r="H36" s="340" t="n"/>
      <c r="I36" s="340" t="n"/>
      <c r="J36" s="792" t="n"/>
    </row>
    <row r="37" ht="17.5" customHeight="1" s="885">
      <c r="A37" s="869" t="inlineStr">
        <is>
          <t>RC159</t>
        </is>
      </c>
      <c r="B37" s="971" t="n">
        <v>0.2</v>
      </c>
      <c r="C37" s="340" t="n"/>
      <c r="D37" s="340" t="n"/>
      <c r="E37" s="340" t="n"/>
      <c r="F37" s="340" t="n"/>
      <c r="G37" s="340" t="n"/>
      <c r="H37" s="340" t="n"/>
      <c r="I37" s="340" t="n"/>
      <c r="J37" s="340" t="n"/>
    </row>
    <row r="38" ht="17.5" customHeight="1" s="885">
      <c r="A38" s="869" t="inlineStr">
        <is>
          <t>RC160</t>
        </is>
      </c>
      <c r="B38" s="971" t="n">
        <v>0.5</v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17.5" customHeight="1" s="885">
      <c r="A39" s="869" t="inlineStr">
        <is>
          <t>RC161</t>
        </is>
      </c>
      <c r="B39" s="971" t="n">
        <v>1</v>
      </c>
      <c r="C39" s="340" t="n"/>
      <c r="D39" s="340" t="n"/>
      <c r="E39" s="340" t="n"/>
      <c r="F39" s="340" t="n"/>
      <c r="G39" s="340" t="n"/>
      <c r="H39" s="340" t="n"/>
      <c r="I39" s="340" t="n"/>
      <c r="J39" s="340" t="n"/>
    </row>
    <row r="40" ht="17.5" customHeight="1" s="885">
      <c r="A40" s="869" t="inlineStr">
        <is>
          <t>RC162</t>
        </is>
      </c>
      <c r="B40" s="971" t="n">
        <v>1.5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8" customHeight="1" s="885">
      <c r="A41" s="869" t="inlineStr">
        <is>
          <t>RC163</t>
        </is>
      </c>
      <c r="B41" s="335" t="inlineStr">
        <is>
          <t>Total</t>
        </is>
      </c>
      <c r="C41" s="340" t="n"/>
      <c r="D41" s="340" t="n"/>
      <c r="E41" s="340" t="n"/>
      <c r="F41" s="340" t="n"/>
      <c r="G41" s="340" t="n"/>
      <c r="H41" s="340" t="n"/>
      <c r="I41" s="340" t="n"/>
      <c r="J41" s="340" t="n"/>
    </row>
    <row r="42" ht="9" customHeight="1" s="885">
      <c r="A42" s="769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RC164</t>
        </is>
      </c>
      <c r="B43" s="336" t="inlineStr">
        <is>
          <t>TOTAL EXPOSITIONS SUR LES IF</t>
        </is>
      </c>
      <c r="C43" s="340">
        <f>C17+C25+C33+C41</f>
        <v/>
      </c>
      <c r="D43" s="340">
        <f>D17+D25+D33+D41</f>
        <v/>
      </c>
      <c r="E43" s="340">
        <f>E17+E25+E33+E41</f>
        <v/>
      </c>
      <c r="F43" s="340">
        <f>F17+F25+F33+F41</f>
        <v/>
      </c>
      <c r="G43" s="340">
        <f>G17+G25+G33+G41</f>
        <v/>
      </c>
      <c r="H43" s="340">
        <f>H17+H25+H33+H41</f>
        <v/>
      </c>
      <c r="I43" s="340">
        <f>I17+I25+I33+I41</f>
        <v/>
      </c>
      <c r="J43" s="340">
        <f>J17+J25+J33+J41</f>
        <v/>
      </c>
    </row>
    <row r="44" ht="9" customHeight="1" s="885">
      <c r="B44" s="770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vFG321oFRsFsoNvUiw2mA==" formatRows="1" sort="1" spinCount="100000" hashValue="p2SoXJ8ivcTcuzyYoxUgU8acn8uJsfnYc0KxkS3JuK7Muj/f/W6a35atOnJfljUrcNNEgSIMKT3ccRH9261MbQ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K62"/>
  <sheetViews>
    <sheetView view="pageBreakPreview" zoomScale="60" zoomScaleNormal="60" workbookViewId="0">
      <selection activeCell="C17" sqref="C17"/>
    </sheetView>
  </sheetViews>
  <sheetFormatPr baseColWidth="10" defaultColWidth="10" defaultRowHeight="9" customHeight="1"/>
  <cols>
    <col collapsed="1" width="10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ENTREPRISES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EP16</t>
        </is>
      </c>
      <c r="K1" s="965" t="n"/>
      <c r="L1" s="965" t="n"/>
    </row>
    <row r="2" ht="31.5" customFormat="1" customHeight="1" s="777">
      <c r="B2" s="343" t="n"/>
      <c r="C2" s="344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A3" s="345" t="n"/>
      <c r="B3" s="346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46" t="n"/>
      <c r="B4" s="345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46" t="n"/>
      <c r="B5" s="345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A6" s="345" t="n"/>
      <c r="B6" s="345" t="n"/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47" t="n"/>
      <c r="C7" s="347" t="n"/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</row>
    <row r="8" ht="20.25" customFormat="1" customHeight="1" s="351">
      <c r="A8" s="766" t="inlineStr">
        <is>
          <t>Code DISPRU</t>
        </is>
      </c>
      <c r="B8" s="774" t="inlineStr">
        <is>
          <t>Coefficient de pondération</t>
        </is>
      </c>
      <c r="C8" s="348" t="inlineStr">
        <is>
          <t>Avant ARC</t>
        </is>
      </c>
      <c r="D8" s="787" t="inlineStr">
        <is>
          <t>Ajustements pour ARC (approche simple)</t>
        </is>
      </c>
      <c r="E8" s="894" t="n"/>
      <c r="F8" s="895" t="n"/>
      <c r="G8" s="787" t="inlineStr">
        <is>
          <t>Ajustements pour ARC (approche globale)</t>
        </is>
      </c>
      <c r="H8" s="895" t="n"/>
      <c r="I8" s="349" t="inlineStr">
        <is>
          <t>Après ARC</t>
        </is>
      </c>
      <c r="J8" s="771" t="inlineStr">
        <is>
          <t>Actifs pondérés des risques</t>
        </is>
      </c>
      <c r="K8" s="343" t="n"/>
      <c r="L8" s="343" t="n"/>
      <c r="M8" s="343" t="n"/>
      <c r="N8" s="343" t="n"/>
      <c r="O8" s="343" t="n"/>
      <c r="P8" s="343" t="n"/>
      <c r="Q8" s="343" t="n"/>
      <c r="R8" s="343" t="n"/>
      <c r="S8" s="343" t="n"/>
      <c r="T8" s="343" t="n"/>
      <c r="U8" s="343" t="n"/>
      <c r="V8" s="343" t="n"/>
      <c r="W8" s="343" t="n"/>
      <c r="X8" s="343" t="n"/>
      <c r="Y8" s="343" t="n"/>
      <c r="Z8" s="343" t="n"/>
      <c r="AA8" s="343" t="n"/>
      <c r="AB8" s="343" t="n"/>
      <c r="AC8" s="343" t="n"/>
      <c r="AD8" s="343" t="n"/>
      <c r="AE8" s="343" t="n"/>
      <c r="AF8" s="343" t="n"/>
      <c r="AG8" s="343" t="n"/>
      <c r="AH8" s="343" t="n"/>
      <c r="AI8" s="343" t="n"/>
      <c r="AJ8" s="343" t="n"/>
      <c r="AK8" s="343" t="n"/>
      <c r="AL8" s="343" t="n"/>
      <c r="AM8" s="343" t="n"/>
      <c r="AN8" s="343" t="n"/>
      <c r="AO8" s="343" t="n"/>
      <c r="AP8" s="343" t="n"/>
      <c r="AQ8" s="343" t="n"/>
      <c r="AR8" s="343" t="n"/>
      <c r="AS8" s="343" t="n"/>
      <c r="AT8" s="343" t="n"/>
      <c r="AU8" s="343" t="n"/>
      <c r="AV8" s="343" t="n"/>
      <c r="AW8" s="343" t="n"/>
      <c r="AX8" s="343" t="n"/>
      <c r="AY8" s="343" t="n"/>
      <c r="AZ8" s="343" t="n"/>
      <c r="BA8" s="343" t="n"/>
      <c r="BB8" s="343" t="n"/>
      <c r="BC8" s="343" t="n"/>
      <c r="BD8" s="343" t="n"/>
      <c r="BE8" s="343" t="n"/>
      <c r="BF8" s="343" t="n"/>
      <c r="BG8" s="343" t="n"/>
      <c r="BH8" s="343" t="n"/>
      <c r="BI8" s="343" t="n"/>
      <c r="BJ8" s="343" t="n"/>
      <c r="BK8" s="343" t="n"/>
      <c r="BL8" s="343" t="n"/>
      <c r="BM8" s="343" t="n"/>
      <c r="BN8" s="343" t="n"/>
      <c r="BO8" s="343" t="n"/>
      <c r="BP8" s="343" t="n"/>
      <c r="BQ8" s="343" t="n"/>
      <c r="BR8" s="343" t="n"/>
      <c r="BS8" s="343" t="n"/>
      <c r="BT8" s="343" t="n"/>
      <c r="BU8" s="343" t="n"/>
      <c r="BV8" s="343" t="n"/>
      <c r="BW8" s="343" t="n"/>
      <c r="BX8" s="343" t="n"/>
      <c r="BY8" s="343" t="n"/>
      <c r="BZ8" s="343" t="n"/>
      <c r="CA8" s="343" t="n"/>
      <c r="CB8" s="343" t="n"/>
      <c r="CC8" s="343" t="n"/>
      <c r="CD8" s="343" t="n"/>
      <c r="CE8" s="343" t="n"/>
      <c r="CF8" s="343" t="n"/>
      <c r="CG8" s="343" t="n"/>
      <c r="CH8" s="343" t="n"/>
      <c r="CI8" s="343" t="n"/>
      <c r="CJ8" s="343" t="n"/>
      <c r="CK8" s="343" t="n"/>
      <c r="CL8" s="343" t="n"/>
      <c r="CM8" s="343" t="n"/>
      <c r="CN8" s="343" t="n"/>
      <c r="CO8" s="343" t="n"/>
      <c r="CP8" s="343" t="n"/>
      <c r="CQ8" s="343" t="n"/>
      <c r="CR8" s="343" t="n"/>
      <c r="CS8" s="343" t="n"/>
      <c r="CT8" s="343" t="n"/>
      <c r="CU8" s="343" t="n"/>
      <c r="CV8" s="343" t="n"/>
      <c r="CW8" s="343" t="n"/>
      <c r="CX8" s="343" t="n"/>
      <c r="CY8" s="343" t="n"/>
      <c r="CZ8" s="343" t="n"/>
      <c r="DA8" s="343" t="n"/>
      <c r="DB8" s="343" t="n"/>
      <c r="DC8" s="343" t="n"/>
      <c r="DD8" s="343" t="n"/>
      <c r="DE8" s="343" t="n"/>
      <c r="DF8" s="343" t="n"/>
      <c r="DG8" s="343" t="n"/>
      <c r="DH8" s="343" t="n"/>
      <c r="DI8" s="343" t="n"/>
      <c r="DJ8" s="343" t="n"/>
      <c r="DK8" s="343" t="n"/>
      <c r="DL8" s="343" t="n"/>
      <c r="DM8" s="343" t="n"/>
      <c r="DN8" s="343" t="n"/>
      <c r="DO8" s="343" t="n"/>
      <c r="DP8" s="343" t="n"/>
      <c r="DQ8" s="343" t="n"/>
      <c r="DR8" s="343" t="n"/>
      <c r="DS8" s="343" t="n"/>
      <c r="DT8" s="343" t="n"/>
      <c r="DU8" s="343" t="n"/>
      <c r="DV8" s="343" t="n"/>
      <c r="DW8" s="343" t="n"/>
      <c r="DX8" s="343" t="n"/>
      <c r="DY8" s="343" t="n"/>
      <c r="DZ8" s="343" t="n"/>
      <c r="EA8" s="343" t="n"/>
      <c r="EB8" s="343" t="n"/>
      <c r="EC8" s="343" t="n"/>
      <c r="ED8" s="343" t="n"/>
      <c r="EE8" s="343" t="n"/>
      <c r="EF8" s="343" t="n"/>
      <c r="EG8" s="343" t="n"/>
      <c r="EH8" s="343" t="n"/>
      <c r="EI8" s="343" t="n"/>
      <c r="EJ8" s="343" t="n"/>
      <c r="EK8" s="343" t="n"/>
      <c r="EL8" s="343" t="n"/>
      <c r="EM8" s="343" t="n"/>
      <c r="EN8" s="343" t="n"/>
      <c r="EO8" s="343" t="n"/>
      <c r="EP8" s="343" t="n"/>
      <c r="EQ8" s="343" t="n"/>
      <c r="ER8" s="343" t="n"/>
      <c r="ES8" s="343" t="n"/>
      <c r="ET8" s="343" t="n"/>
      <c r="EU8" s="343" t="n"/>
      <c r="EV8" s="343" t="n"/>
      <c r="EW8" s="343" t="n"/>
      <c r="EX8" s="343" t="n"/>
      <c r="EY8" s="343" t="n"/>
      <c r="EZ8" s="343" t="n"/>
      <c r="FA8" s="343" t="n"/>
      <c r="FB8" s="343" t="n"/>
      <c r="FC8" s="343" t="n"/>
      <c r="FD8" s="343" t="n"/>
      <c r="FE8" s="343" t="n"/>
      <c r="FF8" s="343" t="n"/>
      <c r="FG8" s="343" t="n"/>
      <c r="FH8" s="343" t="n"/>
      <c r="FI8" s="343" t="n"/>
      <c r="FJ8" s="343" t="n"/>
      <c r="FK8" s="343" t="n"/>
      <c r="FL8" s="343" t="n"/>
      <c r="FM8" s="343" t="n"/>
      <c r="FN8" s="343" t="n"/>
      <c r="FO8" s="343" t="n"/>
      <c r="FP8" s="343" t="n"/>
      <c r="FQ8" s="343" t="n"/>
      <c r="FR8" s="343" t="n"/>
      <c r="FS8" s="343" t="n"/>
      <c r="FT8" s="343" t="n"/>
      <c r="FU8" s="343" t="n"/>
      <c r="FV8" s="343" t="n"/>
      <c r="FW8" s="343" t="n"/>
      <c r="FX8" s="343" t="n"/>
      <c r="FY8" s="343" t="n"/>
      <c r="FZ8" s="343" t="n"/>
      <c r="GA8" s="343" t="n"/>
      <c r="GB8" s="343" t="n"/>
      <c r="GC8" s="343" t="n"/>
      <c r="GD8" s="343" t="n"/>
      <c r="GE8" s="343" t="n"/>
      <c r="GF8" s="343" t="n"/>
      <c r="GG8" s="343" t="n"/>
      <c r="GH8" s="343" t="n"/>
      <c r="GI8" s="343" t="n"/>
      <c r="GJ8" s="343" t="n"/>
      <c r="GK8" s="343" t="n"/>
      <c r="GL8" s="343" t="n"/>
      <c r="GM8" s="343" t="n"/>
      <c r="GN8" s="343" t="n"/>
      <c r="GO8" s="343" t="n"/>
      <c r="GP8" s="343" t="n"/>
      <c r="GQ8" s="343" t="n"/>
      <c r="GR8" s="343" t="n"/>
      <c r="GS8" s="343" t="n"/>
      <c r="GT8" s="343" t="n"/>
      <c r="GU8" s="343" t="n"/>
      <c r="GV8" s="343" t="n"/>
      <c r="GW8" s="343" t="n"/>
      <c r="GX8" s="343" t="n"/>
      <c r="GY8" s="343" t="n"/>
      <c r="GZ8" s="343" t="n"/>
      <c r="HA8" s="343" t="n"/>
      <c r="HB8" s="343" t="n"/>
      <c r="HC8" s="343" t="n"/>
      <c r="HD8" s="343" t="n"/>
      <c r="HE8" s="343" t="n"/>
      <c r="HF8" s="343" t="n"/>
      <c r="HG8" s="343" t="n"/>
      <c r="HH8" s="343" t="n"/>
      <c r="HI8" s="343" t="n"/>
      <c r="HJ8" s="343" t="n"/>
      <c r="HK8" s="343" t="n"/>
      <c r="HL8" s="343" t="n"/>
      <c r="HM8" s="343" t="n"/>
      <c r="HN8" s="343" t="n"/>
      <c r="HO8" s="343" t="n"/>
      <c r="HP8" s="343" t="n"/>
      <c r="HQ8" s="343" t="n"/>
      <c r="HR8" s="343" t="n"/>
      <c r="HS8" s="343" t="n"/>
      <c r="HT8" s="343" t="n"/>
      <c r="HU8" s="343" t="n"/>
      <c r="HV8" s="343" t="n"/>
      <c r="HW8" s="343" t="n"/>
      <c r="HX8" s="343" t="n"/>
      <c r="HY8" s="343" t="n"/>
      <c r="HZ8" s="343" t="n"/>
      <c r="IA8" s="343" t="n"/>
      <c r="IB8" s="343" t="n"/>
      <c r="IC8" s="343" t="n"/>
      <c r="ID8" s="343" t="n"/>
      <c r="IE8" s="343" t="n"/>
      <c r="IF8" s="343" t="n"/>
      <c r="IG8" s="343" t="n"/>
      <c r="IH8" s="343" t="n"/>
      <c r="II8" s="343" t="n"/>
      <c r="IJ8" s="343" t="n"/>
      <c r="IK8" s="343" t="n"/>
      <c r="IL8" s="343" t="n"/>
      <c r="IM8" s="343" t="n"/>
      <c r="IN8" s="343" t="n"/>
      <c r="IO8" s="343" t="n"/>
      <c r="IP8" s="343" t="n"/>
      <c r="IQ8" s="343" t="n"/>
      <c r="IR8" s="343" t="n"/>
      <c r="IS8" s="343" t="n"/>
      <c r="IT8" s="343" t="n"/>
      <c r="IU8" s="343" t="n"/>
      <c r="IV8" s="343" t="n"/>
      <c r="IW8" s="343" t="n"/>
      <c r="IX8" s="343" t="n"/>
      <c r="IY8" s="343" t="n"/>
      <c r="IZ8" s="343" t="n"/>
      <c r="JA8" s="343" t="n"/>
      <c r="JB8" s="343" t="n"/>
      <c r="JC8" s="343" t="n"/>
      <c r="JD8" s="343" t="n"/>
      <c r="JE8" s="343" t="n"/>
      <c r="JF8" s="343" t="n"/>
      <c r="JG8" s="343" t="n"/>
      <c r="JH8" s="343" t="n"/>
      <c r="JI8" s="343" t="n"/>
      <c r="JJ8" s="343" t="n"/>
      <c r="JK8" s="343" t="n"/>
      <c r="JL8" s="343" t="n"/>
      <c r="JM8" s="343" t="n"/>
      <c r="JN8" s="343" t="n"/>
      <c r="JO8" s="343" t="n"/>
      <c r="JP8" s="343" t="n"/>
      <c r="JQ8" s="343" t="n"/>
      <c r="JR8" s="343" t="n"/>
      <c r="JS8" s="343" t="n"/>
      <c r="JT8" s="343" t="n"/>
      <c r="JU8" s="343" t="n"/>
      <c r="JV8" s="343" t="n"/>
      <c r="JW8" s="343" t="n"/>
      <c r="JX8" s="343" t="n"/>
      <c r="JY8" s="343" t="n"/>
      <c r="JZ8" s="343" t="n"/>
      <c r="KA8" s="343" t="n"/>
      <c r="KB8" s="343" t="n"/>
      <c r="KC8" s="343" t="n"/>
      <c r="KD8" s="343" t="n"/>
      <c r="KE8" s="343" t="n"/>
      <c r="KF8" s="343" t="n"/>
      <c r="KG8" s="343" t="n"/>
      <c r="KH8" s="343" t="n"/>
      <c r="KI8" s="343" t="n"/>
      <c r="KJ8" s="343" t="n"/>
      <c r="KK8" s="343" t="n"/>
      <c r="KL8" s="343" t="n"/>
      <c r="KM8" s="343" t="n"/>
      <c r="KN8" s="343" t="n"/>
      <c r="KO8" s="343" t="n"/>
      <c r="KP8" s="343" t="n"/>
      <c r="KQ8" s="343" t="n"/>
      <c r="KR8" s="343" t="n"/>
      <c r="KS8" s="343" t="n"/>
      <c r="KT8" s="343" t="n"/>
      <c r="KU8" s="343" t="n"/>
      <c r="KV8" s="343" t="n"/>
      <c r="KW8" s="343" t="n"/>
      <c r="KX8" s="343" t="n"/>
      <c r="KY8" s="343" t="n"/>
      <c r="KZ8" s="343" t="n"/>
      <c r="LA8" s="343" t="n"/>
      <c r="LB8" s="343" t="n"/>
      <c r="LC8" s="343" t="n"/>
      <c r="LD8" s="343" t="n"/>
      <c r="LE8" s="343" t="n"/>
      <c r="LF8" s="343" t="n"/>
      <c r="LG8" s="343" t="n"/>
      <c r="LH8" s="343" t="n"/>
      <c r="LI8" s="343" t="n"/>
      <c r="LJ8" s="343" t="n"/>
      <c r="LK8" s="343" t="n"/>
      <c r="LL8" s="343" t="n"/>
      <c r="LM8" s="343" t="n"/>
      <c r="LN8" s="343" t="n"/>
      <c r="LO8" s="343" t="n"/>
      <c r="LP8" s="343" t="n"/>
      <c r="LQ8" s="343" t="n"/>
      <c r="LR8" s="343" t="n"/>
      <c r="LS8" s="343" t="n"/>
      <c r="LT8" s="343" t="n"/>
      <c r="LU8" s="343" t="n"/>
      <c r="LV8" s="343" t="n"/>
      <c r="LW8" s="343" t="n"/>
      <c r="LX8" s="343" t="n"/>
      <c r="LY8" s="343" t="n"/>
      <c r="LZ8" s="343" t="n"/>
      <c r="MA8" s="343" t="n"/>
      <c r="MB8" s="343" t="n"/>
      <c r="MC8" s="343" t="n"/>
      <c r="MD8" s="343" t="n"/>
      <c r="ME8" s="343" t="n"/>
      <c r="MF8" s="343" t="n"/>
      <c r="MG8" s="343" t="n"/>
      <c r="MH8" s="343" t="n"/>
      <c r="MI8" s="343" t="n"/>
      <c r="MJ8" s="343" t="n"/>
      <c r="MK8" s="343" t="n"/>
      <c r="ML8" s="343" t="n"/>
      <c r="MM8" s="343" t="n"/>
      <c r="MN8" s="343" t="n"/>
      <c r="MO8" s="343" t="n"/>
      <c r="MP8" s="343" t="n"/>
      <c r="MQ8" s="343" t="n"/>
      <c r="MR8" s="343" t="n"/>
      <c r="MS8" s="343" t="n"/>
      <c r="MT8" s="343" t="n"/>
      <c r="MU8" s="343" t="n"/>
      <c r="MV8" s="343" t="n"/>
      <c r="MW8" s="343" t="n"/>
      <c r="MX8" s="343" t="n"/>
      <c r="MY8" s="343" t="n"/>
      <c r="MZ8" s="343" t="n"/>
      <c r="NA8" s="343" t="n"/>
      <c r="NB8" s="343" t="n"/>
      <c r="NC8" s="343" t="n"/>
      <c r="ND8" s="343" t="n"/>
      <c r="NE8" s="343" t="n"/>
      <c r="NF8" s="343" t="n"/>
      <c r="NG8" s="343" t="n"/>
      <c r="NH8" s="343" t="n"/>
      <c r="NI8" s="343" t="n"/>
      <c r="NJ8" s="343" t="n"/>
      <c r="NK8" s="343" t="n"/>
      <c r="NL8" s="343" t="n"/>
      <c r="NM8" s="343" t="n"/>
      <c r="NN8" s="343" t="n"/>
      <c r="NO8" s="343" t="n"/>
      <c r="NP8" s="343" t="n"/>
      <c r="NQ8" s="343" t="n"/>
      <c r="NR8" s="343" t="n"/>
      <c r="NS8" s="343" t="n"/>
      <c r="NT8" s="343" t="n"/>
      <c r="NU8" s="343" t="n"/>
      <c r="NV8" s="343" t="n"/>
      <c r="NW8" s="343" t="n"/>
      <c r="NX8" s="343" t="n"/>
      <c r="NY8" s="343" t="n"/>
      <c r="NZ8" s="343" t="n"/>
      <c r="OA8" s="343" t="n"/>
      <c r="OB8" s="343" t="n"/>
      <c r="OC8" s="343" t="n"/>
      <c r="OD8" s="343" t="n"/>
      <c r="OE8" s="343" t="n"/>
      <c r="OF8" s="343" t="n"/>
      <c r="OG8" s="343" t="n"/>
      <c r="OH8" s="343" t="n"/>
      <c r="OI8" s="343" t="n"/>
      <c r="OJ8" s="343" t="n"/>
      <c r="OK8" s="343" t="n"/>
      <c r="OL8" s="343" t="n"/>
      <c r="OM8" s="343" t="n"/>
      <c r="ON8" s="343" t="n"/>
      <c r="OO8" s="343" t="n"/>
      <c r="OP8" s="343" t="n"/>
      <c r="OQ8" s="343" t="n"/>
      <c r="OR8" s="343" t="n"/>
      <c r="OS8" s="343" t="n"/>
      <c r="OT8" s="343" t="n"/>
      <c r="OU8" s="343" t="n"/>
      <c r="OV8" s="343" t="n"/>
      <c r="OW8" s="343" t="n"/>
      <c r="OX8" s="343" t="n"/>
      <c r="OY8" s="343" t="n"/>
      <c r="OZ8" s="343" t="n"/>
      <c r="PA8" s="343" t="n"/>
      <c r="PB8" s="343" t="n"/>
      <c r="PC8" s="343" t="n"/>
      <c r="PD8" s="343" t="n"/>
      <c r="PE8" s="343" t="n"/>
      <c r="PF8" s="343" t="n"/>
      <c r="PG8" s="343" t="n"/>
      <c r="PH8" s="343" t="n"/>
      <c r="PI8" s="343" t="n"/>
      <c r="PJ8" s="343" t="n"/>
      <c r="PK8" s="343" t="n"/>
      <c r="PL8" s="343" t="n"/>
      <c r="PM8" s="343" t="n"/>
      <c r="PN8" s="343" t="n"/>
      <c r="PO8" s="343" t="n"/>
      <c r="PP8" s="343" t="n"/>
      <c r="PQ8" s="343" t="n"/>
      <c r="PR8" s="343" t="n"/>
      <c r="PS8" s="343" t="n"/>
      <c r="PT8" s="343" t="n"/>
      <c r="PU8" s="343" t="n"/>
      <c r="PV8" s="343" t="n"/>
      <c r="PW8" s="343" t="n"/>
      <c r="PX8" s="343" t="n"/>
      <c r="PY8" s="343" t="n"/>
      <c r="PZ8" s="343" t="n"/>
      <c r="QA8" s="343" t="n"/>
      <c r="QB8" s="343" t="n"/>
      <c r="QC8" s="343" t="n"/>
      <c r="QD8" s="343" t="n"/>
      <c r="QE8" s="343" t="n"/>
      <c r="QF8" s="343" t="n"/>
      <c r="QG8" s="343" t="n"/>
      <c r="QH8" s="343" t="n"/>
      <c r="QI8" s="343" t="n"/>
      <c r="QJ8" s="343" t="n"/>
      <c r="QK8" s="343" t="n"/>
      <c r="QL8" s="343" t="n"/>
      <c r="QM8" s="343" t="n"/>
      <c r="QN8" s="343" t="n"/>
      <c r="QO8" s="343" t="n"/>
      <c r="QP8" s="343" t="n"/>
      <c r="QQ8" s="343" t="n"/>
      <c r="QR8" s="343" t="n"/>
      <c r="QS8" s="343" t="n"/>
      <c r="QT8" s="343" t="n"/>
      <c r="QU8" s="343" t="n"/>
      <c r="QV8" s="343" t="n"/>
      <c r="QW8" s="343" t="n"/>
      <c r="QX8" s="343" t="n"/>
      <c r="QY8" s="343" t="n"/>
      <c r="QZ8" s="343" t="n"/>
      <c r="RA8" s="343" t="n"/>
      <c r="RB8" s="343" t="n"/>
      <c r="RC8" s="343" t="n"/>
      <c r="RD8" s="343" t="n"/>
      <c r="RE8" s="343" t="n"/>
      <c r="RF8" s="343" t="n"/>
      <c r="RG8" s="343" t="n"/>
      <c r="RH8" s="343" t="n"/>
      <c r="RI8" s="343" t="n"/>
      <c r="RJ8" s="343" t="n"/>
      <c r="RK8" s="343" t="n"/>
      <c r="RL8" s="343" t="n"/>
      <c r="RM8" s="343" t="n"/>
      <c r="RN8" s="343" t="n"/>
      <c r="RO8" s="343" t="n"/>
      <c r="RP8" s="343" t="n"/>
      <c r="RQ8" s="343" t="n"/>
      <c r="RR8" s="343" t="n"/>
      <c r="RS8" s="343" t="n"/>
      <c r="RT8" s="343" t="n"/>
      <c r="RU8" s="343" t="n"/>
      <c r="RV8" s="343" t="n"/>
      <c r="RW8" s="343" t="n"/>
      <c r="RX8" s="343" t="n"/>
      <c r="RY8" s="343" t="n"/>
      <c r="RZ8" s="343" t="n"/>
      <c r="SA8" s="343" t="n"/>
      <c r="SB8" s="343" t="n"/>
      <c r="SC8" s="343" t="n"/>
      <c r="SD8" s="343" t="n"/>
      <c r="SE8" s="343" t="n"/>
      <c r="SF8" s="343" t="n"/>
      <c r="SG8" s="343" t="n"/>
      <c r="SH8" s="343" t="n"/>
      <c r="SI8" s="343" t="n"/>
      <c r="SJ8" s="343" t="n"/>
      <c r="SK8" s="343" t="n"/>
      <c r="SL8" s="343" t="n"/>
      <c r="SM8" s="343" t="n"/>
      <c r="SN8" s="343" t="n"/>
      <c r="SO8" s="343" t="n"/>
      <c r="SP8" s="343" t="n"/>
      <c r="SQ8" s="343" t="n"/>
      <c r="SR8" s="343" t="n"/>
      <c r="SS8" s="343" t="n"/>
      <c r="ST8" s="343" t="n"/>
      <c r="SU8" s="343" t="n"/>
      <c r="SV8" s="343" t="n"/>
      <c r="SW8" s="343" t="n"/>
      <c r="SX8" s="343" t="n"/>
      <c r="SY8" s="343" t="n"/>
      <c r="SZ8" s="343" t="n"/>
      <c r="TA8" s="343" t="n"/>
      <c r="TB8" s="343" t="n"/>
      <c r="TC8" s="343" t="n"/>
      <c r="TD8" s="343" t="n"/>
      <c r="TE8" s="343" t="n"/>
      <c r="TF8" s="343" t="n"/>
      <c r="TG8" s="343" t="n"/>
      <c r="TH8" s="343" t="n"/>
      <c r="TI8" s="343" t="n"/>
      <c r="TJ8" s="343" t="n"/>
      <c r="TK8" s="343" t="n"/>
      <c r="TL8" s="343" t="n"/>
      <c r="TM8" s="343" t="n"/>
      <c r="TN8" s="343" t="n"/>
      <c r="TO8" s="343" t="n"/>
      <c r="TP8" s="343" t="n"/>
      <c r="TQ8" s="343" t="n"/>
      <c r="TR8" s="343" t="n"/>
      <c r="TS8" s="343" t="n"/>
      <c r="TT8" s="343" t="n"/>
      <c r="TU8" s="343" t="n"/>
      <c r="TV8" s="343" t="n"/>
      <c r="TW8" s="343" t="n"/>
      <c r="TX8" s="343" t="n"/>
      <c r="TY8" s="343" t="n"/>
      <c r="TZ8" s="343" t="n"/>
      <c r="UA8" s="343" t="n"/>
      <c r="UB8" s="343" t="n"/>
      <c r="UC8" s="343" t="n"/>
      <c r="UD8" s="343" t="n"/>
      <c r="UE8" s="343" t="n"/>
      <c r="UF8" s="343" t="n"/>
      <c r="UG8" s="343" t="n"/>
      <c r="UH8" s="343" t="n"/>
      <c r="UI8" s="343" t="n"/>
      <c r="UJ8" s="343" t="n"/>
      <c r="UK8" s="343" t="n"/>
      <c r="UL8" s="343" t="n"/>
      <c r="UM8" s="343" t="n"/>
      <c r="UN8" s="343" t="n"/>
      <c r="UO8" s="343" t="n"/>
      <c r="UP8" s="343" t="n"/>
      <c r="UQ8" s="343" t="n"/>
      <c r="UR8" s="343" t="n"/>
      <c r="US8" s="343" t="n"/>
      <c r="UT8" s="343" t="n"/>
      <c r="UU8" s="343" t="n"/>
      <c r="UV8" s="343" t="n"/>
      <c r="UW8" s="343" t="n"/>
      <c r="UX8" s="343" t="n"/>
      <c r="UY8" s="343" t="n"/>
      <c r="UZ8" s="343" t="n"/>
      <c r="VA8" s="343" t="n"/>
      <c r="VB8" s="343" t="n"/>
      <c r="VC8" s="343" t="n"/>
      <c r="VD8" s="343" t="n"/>
      <c r="VE8" s="343" t="n"/>
      <c r="VF8" s="343" t="n"/>
      <c r="VG8" s="343" t="n"/>
      <c r="VH8" s="343" t="n"/>
      <c r="VI8" s="343" t="n"/>
      <c r="VJ8" s="343" t="n"/>
      <c r="VK8" s="343" t="n"/>
      <c r="VL8" s="343" t="n"/>
      <c r="VM8" s="343" t="n"/>
      <c r="VN8" s="343" t="n"/>
      <c r="VO8" s="343" t="n"/>
      <c r="VP8" s="343" t="n"/>
      <c r="VQ8" s="343" t="n"/>
      <c r="VR8" s="343" t="n"/>
      <c r="VS8" s="343" t="n"/>
      <c r="VT8" s="343" t="n"/>
      <c r="VU8" s="343" t="n"/>
      <c r="VV8" s="343" t="n"/>
      <c r="VW8" s="343" t="n"/>
      <c r="VX8" s="343" t="n"/>
      <c r="VY8" s="343" t="n"/>
      <c r="VZ8" s="343" t="n"/>
      <c r="WA8" s="343" t="n"/>
      <c r="WB8" s="343" t="n"/>
      <c r="WC8" s="343" t="n"/>
      <c r="WD8" s="343" t="n"/>
      <c r="WE8" s="343" t="n"/>
      <c r="WF8" s="343" t="n"/>
      <c r="WG8" s="343" t="n"/>
      <c r="WH8" s="343" t="n"/>
      <c r="WI8" s="343" t="n"/>
      <c r="WJ8" s="343" t="n"/>
      <c r="WK8" s="343" t="n"/>
      <c r="WL8" s="343" t="n"/>
      <c r="WM8" s="343" t="n"/>
      <c r="WN8" s="343" t="n"/>
      <c r="WO8" s="343" t="n"/>
      <c r="WP8" s="343" t="n"/>
      <c r="WQ8" s="343" t="n"/>
      <c r="WR8" s="343" t="n"/>
      <c r="WS8" s="343" t="n"/>
      <c r="WT8" s="343" t="n"/>
      <c r="WU8" s="343" t="n"/>
      <c r="WV8" s="343" t="n"/>
      <c r="WW8" s="343" t="n"/>
      <c r="WX8" s="343" t="n"/>
      <c r="WY8" s="343" t="n"/>
      <c r="WZ8" s="343" t="n"/>
      <c r="XA8" s="343" t="n"/>
      <c r="XB8" s="343" t="n"/>
      <c r="XC8" s="343" t="n"/>
      <c r="XD8" s="343" t="n"/>
      <c r="XE8" s="343" t="n"/>
      <c r="XF8" s="343" t="n"/>
      <c r="XG8" s="343" t="n"/>
      <c r="XH8" s="343" t="n"/>
      <c r="XI8" s="343" t="n"/>
      <c r="XJ8" s="343" t="n"/>
      <c r="XK8" s="343" t="n"/>
      <c r="XL8" s="343" t="n"/>
      <c r="XM8" s="343" t="n"/>
      <c r="XN8" s="343" t="n"/>
      <c r="XO8" s="343" t="n"/>
      <c r="XP8" s="343" t="n"/>
      <c r="XQ8" s="343" t="n"/>
      <c r="XR8" s="343" t="n"/>
      <c r="XS8" s="343" t="n"/>
      <c r="XT8" s="343" t="n"/>
      <c r="XU8" s="343" t="n"/>
      <c r="XV8" s="343" t="n"/>
      <c r="XW8" s="343" t="n"/>
      <c r="XX8" s="343" t="n"/>
      <c r="XY8" s="343" t="n"/>
      <c r="XZ8" s="343" t="n"/>
      <c r="YA8" s="343" t="n"/>
      <c r="YB8" s="343" t="n"/>
      <c r="YC8" s="343" t="n"/>
      <c r="YD8" s="343" t="n"/>
      <c r="YE8" s="343" t="n"/>
      <c r="YF8" s="343" t="n"/>
      <c r="YG8" s="343" t="n"/>
      <c r="YH8" s="343" t="n"/>
      <c r="YI8" s="343" t="n"/>
      <c r="YJ8" s="343" t="n"/>
      <c r="YK8" s="343" t="n"/>
      <c r="YL8" s="343" t="n"/>
      <c r="YM8" s="343" t="n"/>
      <c r="YN8" s="343" t="n"/>
      <c r="YO8" s="343" t="n"/>
      <c r="YP8" s="343" t="n"/>
      <c r="YQ8" s="343" t="n"/>
      <c r="YR8" s="343" t="n"/>
      <c r="YS8" s="343" t="n"/>
      <c r="YT8" s="343" t="n"/>
      <c r="YU8" s="343" t="n"/>
      <c r="YV8" s="343" t="n"/>
      <c r="YW8" s="343" t="n"/>
      <c r="YX8" s="343" t="n"/>
      <c r="YY8" s="343" t="n"/>
      <c r="YZ8" s="343" t="n"/>
      <c r="ZA8" s="343" t="n"/>
      <c r="ZB8" s="343" t="n"/>
      <c r="ZC8" s="343" t="n"/>
      <c r="ZD8" s="343" t="n"/>
      <c r="ZE8" s="343" t="n"/>
      <c r="ZF8" s="343" t="n"/>
      <c r="ZG8" s="343" t="n"/>
      <c r="ZH8" s="343" t="n"/>
      <c r="ZI8" s="343" t="n"/>
      <c r="ZJ8" s="343" t="n"/>
      <c r="ZK8" s="343" t="n"/>
      <c r="ZL8" s="343" t="n"/>
      <c r="ZM8" s="343" t="n"/>
      <c r="ZN8" s="343" t="n"/>
      <c r="ZO8" s="343" t="n"/>
      <c r="ZP8" s="343" t="n"/>
      <c r="ZQ8" s="343" t="n"/>
      <c r="ZR8" s="343" t="n"/>
      <c r="ZS8" s="343" t="n"/>
      <c r="ZT8" s="343" t="n"/>
      <c r="ZU8" s="343" t="n"/>
      <c r="ZV8" s="343" t="n"/>
      <c r="ZW8" s="343" t="n"/>
      <c r="ZX8" s="343" t="n"/>
      <c r="ZY8" s="343" t="n"/>
      <c r="ZZ8" s="343" t="n"/>
      <c r="AAA8" s="343" t="n"/>
      <c r="AAB8" s="343" t="n"/>
      <c r="AAC8" s="343" t="n"/>
      <c r="AAD8" s="343" t="n"/>
      <c r="AAE8" s="343" t="n"/>
      <c r="AAF8" s="343" t="n"/>
      <c r="AAG8" s="343" t="n"/>
      <c r="AAH8" s="343" t="n"/>
      <c r="AAI8" s="343" t="n"/>
      <c r="AAJ8" s="343" t="n"/>
      <c r="AAK8" s="343" t="n"/>
      <c r="AAL8" s="343" t="n"/>
      <c r="AAM8" s="343" t="n"/>
      <c r="AAN8" s="343" t="n"/>
      <c r="AAO8" s="343" t="n"/>
      <c r="AAP8" s="343" t="n"/>
      <c r="AAQ8" s="343" t="n"/>
      <c r="AAR8" s="343" t="n"/>
      <c r="AAS8" s="343" t="n"/>
      <c r="AAT8" s="343" t="n"/>
      <c r="AAU8" s="343" t="n"/>
      <c r="AAV8" s="343" t="n"/>
      <c r="AAW8" s="343" t="n"/>
      <c r="AAX8" s="343" t="n"/>
      <c r="AAY8" s="343" t="n"/>
      <c r="AAZ8" s="343" t="n"/>
      <c r="ABA8" s="343" t="n"/>
      <c r="ABB8" s="343" t="n"/>
      <c r="ABC8" s="343" t="n"/>
      <c r="ABD8" s="343" t="n"/>
      <c r="ABE8" s="343" t="n"/>
      <c r="ABF8" s="343" t="n"/>
      <c r="ABG8" s="343" t="n"/>
      <c r="ABH8" s="343" t="n"/>
      <c r="ABI8" s="343" t="n"/>
      <c r="ABJ8" s="343" t="n"/>
      <c r="ABK8" s="343" t="n"/>
      <c r="ABL8" s="343" t="n"/>
      <c r="ABM8" s="343" t="n"/>
      <c r="ABN8" s="343" t="n"/>
      <c r="ABO8" s="343" t="n"/>
      <c r="ABP8" s="343" t="n"/>
      <c r="ABQ8" s="343" t="n"/>
      <c r="ABR8" s="343" t="n"/>
      <c r="ABS8" s="343" t="n"/>
      <c r="ABT8" s="343" t="n"/>
      <c r="ABU8" s="343" t="n"/>
      <c r="ABV8" s="343" t="n"/>
      <c r="ABW8" s="343" t="n"/>
      <c r="ABX8" s="343" t="n"/>
      <c r="ABY8" s="343" t="n"/>
      <c r="ABZ8" s="343" t="n"/>
      <c r="ACA8" s="343" t="n"/>
      <c r="ACB8" s="343" t="n"/>
      <c r="ACC8" s="343" t="n"/>
      <c r="ACD8" s="343" t="n"/>
      <c r="ACE8" s="343" t="n"/>
      <c r="ACF8" s="343" t="n"/>
      <c r="ACG8" s="343" t="n"/>
      <c r="ACH8" s="343" t="n"/>
      <c r="ACI8" s="343" t="n"/>
      <c r="ACJ8" s="343" t="n"/>
      <c r="ACK8" s="343" t="n"/>
      <c r="ACL8" s="343" t="n"/>
      <c r="ACM8" s="343" t="n"/>
      <c r="ACN8" s="343" t="n"/>
      <c r="ACO8" s="343" t="n"/>
      <c r="ACP8" s="343" t="n"/>
      <c r="ACQ8" s="343" t="n"/>
      <c r="ACR8" s="343" t="n"/>
      <c r="ACS8" s="343" t="n"/>
      <c r="ACT8" s="343" t="n"/>
      <c r="ACU8" s="343" t="n"/>
      <c r="ACV8" s="343" t="n"/>
      <c r="ACW8" s="343" t="n"/>
      <c r="ACX8" s="343" t="n"/>
      <c r="ACY8" s="343" t="n"/>
      <c r="ACZ8" s="343" t="n"/>
      <c r="ADA8" s="343" t="n"/>
      <c r="ADB8" s="343" t="n"/>
      <c r="ADC8" s="343" t="n"/>
      <c r="ADD8" s="343" t="n"/>
      <c r="ADE8" s="343" t="n"/>
      <c r="ADF8" s="343" t="n"/>
      <c r="ADG8" s="343" t="n"/>
      <c r="ADH8" s="343" t="n"/>
      <c r="ADI8" s="343" t="n"/>
      <c r="ADJ8" s="343" t="n"/>
      <c r="ADK8" s="343" t="n"/>
      <c r="ADL8" s="343" t="n"/>
      <c r="ADM8" s="343" t="n"/>
      <c r="ADN8" s="343" t="n"/>
      <c r="ADO8" s="343" t="n"/>
      <c r="ADP8" s="343" t="n"/>
      <c r="ADQ8" s="343" t="n"/>
      <c r="ADR8" s="343" t="n"/>
      <c r="ADS8" s="343" t="n"/>
      <c r="ADT8" s="343" t="n"/>
      <c r="ADU8" s="343" t="n"/>
      <c r="ADV8" s="343" t="n"/>
      <c r="ADW8" s="343" t="n"/>
      <c r="ADX8" s="343" t="n"/>
      <c r="ADY8" s="343" t="n"/>
      <c r="ADZ8" s="343" t="n"/>
      <c r="AEA8" s="343" t="n"/>
      <c r="AEB8" s="343" t="n"/>
      <c r="AEC8" s="343" t="n"/>
      <c r="AED8" s="343" t="n"/>
      <c r="AEE8" s="343" t="n"/>
      <c r="AEF8" s="343" t="n"/>
      <c r="AEG8" s="343" t="n"/>
      <c r="AEH8" s="343" t="n"/>
      <c r="AEI8" s="343" t="n"/>
      <c r="AEJ8" s="343" t="n"/>
      <c r="AEK8" s="343" t="n"/>
      <c r="AEL8" s="343" t="n"/>
      <c r="AEM8" s="343" t="n"/>
      <c r="AEN8" s="343" t="n"/>
      <c r="AEO8" s="343" t="n"/>
      <c r="AEP8" s="343" t="n"/>
      <c r="AEQ8" s="343" t="n"/>
      <c r="AER8" s="343" t="n"/>
      <c r="AES8" s="343" t="n"/>
      <c r="AET8" s="343" t="n"/>
      <c r="AEU8" s="343" t="n"/>
      <c r="AEV8" s="343" t="n"/>
      <c r="AEW8" s="343" t="n"/>
      <c r="AEX8" s="343" t="n"/>
      <c r="AEY8" s="343" t="n"/>
      <c r="AEZ8" s="343" t="n"/>
      <c r="AFA8" s="343" t="n"/>
      <c r="AFB8" s="343" t="n"/>
      <c r="AFC8" s="343" t="n"/>
      <c r="AFD8" s="343" t="n"/>
      <c r="AFE8" s="343" t="n"/>
      <c r="AFF8" s="343" t="n"/>
      <c r="AFG8" s="343" t="n"/>
      <c r="AFH8" s="343" t="n"/>
      <c r="AFI8" s="343" t="n"/>
      <c r="AFJ8" s="343" t="n"/>
      <c r="AFK8" s="343" t="n"/>
      <c r="AFL8" s="343" t="n"/>
      <c r="AFM8" s="343" t="n"/>
      <c r="AFN8" s="343" t="n"/>
      <c r="AFO8" s="343" t="n"/>
      <c r="AFP8" s="343" t="n"/>
      <c r="AFQ8" s="343" t="n"/>
      <c r="AFR8" s="343" t="n"/>
      <c r="AFS8" s="343" t="n"/>
      <c r="AFT8" s="343" t="n"/>
      <c r="AFU8" s="343" t="n"/>
      <c r="AFV8" s="343" t="n"/>
      <c r="AFW8" s="343" t="n"/>
      <c r="AFX8" s="343" t="n"/>
      <c r="AFY8" s="343" t="n"/>
      <c r="AFZ8" s="343" t="n"/>
      <c r="AGA8" s="343" t="n"/>
      <c r="AGB8" s="343" t="n"/>
      <c r="AGC8" s="343" t="n"/>
      <c r="AGD8" s="343" t="n"/>
      <c r="AGE8" s="343" t="n"/>
      <c r="AGF8" s="343" t="n"/>
      <c r="AGG8" s="343" t="n"/>
      <c r="AGH8" s="343" t="n"/>
      <c r="AGI8" s="343" t="n"/>
      <c r="AGJ8" s="343" t="n"/>
      <c r="AGK8" s="343" t="n"/>
      <c r="AGL8" s="343" t="n"/>
      <c r="AGM8" s="343" t="n"/>
      <c r="AGN8" s="343" t="n"/>
      <c r="AGO8" s="343" t="n"/>
      <c r="AGP8" s="343" t="n"/>
      <c r="AGQ8" s="343" t="n"/>
      <c r="AGR8" s="343" t="n"/>
      <c r="AGS8" s="343" t="n"/>
      <c r="AGT8" s="343" t="n"/>
      <c r="AGU8" s="343" t="n"/>
      <c r="AGV8" s="343" t="n"/>
      <c r="AGW8" s="343" t="n"/>
      <c r="AGX8" s="343" t="n"/>
      <c r="AGY8" s="343" t="n"/>
      <c r="AGZ8" s="343" t="n"/>
      <c r="AHA8" s="343" t="n"/>
      <c r="AHB8" s="343" t="n"/>
      <c r="AHC8" s="343" t="n"/>
      <c r="AHD8" s="343" t="n"/>
      <c r="AHE8" s="343" t="n"/>
      <c r="AHF8" s="343" t="n"/>
      <c r="AHG8" s="343" t="n"/>
      <c r="AHH8" s="343" t="n"/>
      <c r="AHI8" s="343" t="n"/>
      <c r="AHJ8" s="343" t="n"/>
      <c r="AHK8" s="343" t="n"/>
      <c r="AHL8" s="343" t="n"/>
      <c r="AHM8" s="343" t="n"/>
      <c r="AHN8" s="343" t="n"/>
      <c r="AHO8" s="343" t="n"/>
      <c r="AHP8" s="343" t="n"/>
      <c r="AHQ8" s="343" t="n"/>
      <c r="AHR8" s="343" t="n"/>
      <c r="AHS8" s="343" t="n"/>
      <c r="AHT8" s="343" t="n"/>
      <c r="AHU8" s="343" t="n"/>
      <c r="AHV8" s="343" t="n"/>
      <c r="AHW8" s="343" t="n"/>
      <c r="AHX8" s="343" t="n"/>
      <c r="AHY8" s="343" t="n"/>
      <c r="AHZ8" s="343" t="n"/>
      <c r="AIA8" s="343" t="n"/>
      <c r="AIB8" s="343" t="n"/>
      <c r="AIC8" s="343" t="n"/>
      <c r="AID8" s="343" t="n"/>
      <c r="AIE8" s="343" t="n"/>
      <c r="AIF8" s="343" t="n"/>
      <c r="AIG8" s="343" t="n"/>
      <c r="AIH8" s="343" t="n"/>
      <c r="AII8" s="343" t="n"/>
      <c r="AIJ8" s="343" t="n"/>
      <c r="AIK8" s="343" t="n"/>
      <c r="AIL8" s="343" t="n"/>
      <c r="AIM8" s="343" t="n"/>
      <c r="AIN8" s="343" t="n"/>
      <c r="AIO8" s="343" t="n"/>
      <c r="AIP8" s="343" t="n"/>
      <c r="AIQ8" s="343" t="n"/>
      <c r="AIR8" s="343" t="n"/>
      <c r="AIS8" s="343" t="n"/>
      <c r="AIT8" s="343" t="n"/>
      <c r="AIU8" s="343" t="n"/>
      <c r="AIV8" s="343" t="n"/>
      <c r="AIW8" s="343" t="n"/>
      <c r="AIX8" s="343" t="n"/>
      <c r="AIY8" s="343" t="n"/>
      <c r="AIZ8" s="343" t="n"/>
      <c r="AJA8" s="343" t="n"/>
      <c r="AJB8" s="343" t="n"/>
      <c r="AJC8" s="343" t="n"/>
      <c r="AJD8" s="343" t="n"/>
      <c r="AJE8" s="343" t="n"/>
      <c r="AJF8" s="343" t="n"/>
      <c r="AJG8" s="343" t="n"/>
      <c r="AJH8" s="343" t="n"/>
      <c r="AJI8" s="343" t="n"/>
      <c r="AJJ8" s="343" t="n"/>
      <c r="AJK8" s="343" t="n"/>
      <c r="AJL8" s="343" t="n"/>
      <c r="AJM8" s="343" t="n"/>
      <c r="AJN8" s="343" t="n"/>
      <c r="AJO8" s="343" t="n"/>
      <c r="AJP8" s="343" t="n"/>
      <c r="AJQ8" s="343" t="n"/>
      <c r="AJR8" s="343" t="n"/>
      <c r="AJS8" s="343" t="n"/>
      <c r="AJT8" s="343" t="n"/>
      <c r="AJU8" s="343" t="n"/>
      <c r="AJV8" s="343" t="n"/>
      <c r="AJW8" s="343" t="n"/>
      <c r="AJX8" s="343" t="n"/>
      <c r="AJY8" s="343" t="n"/>
      <c r="AJZ8" s="343" t="n"/>
      <c r="AKA8" s="343" t="n"/>
      <c r="AKB8" s="343" t="n"/>
      <c r="AKC8" s="343" t="n"/>
      <c r="AKD8" s="343" t="n"/>
      <c r="AKE8" s="343" t="n"/>
      <c r="AKF8" s="343" t="n"/>
      <c r="AKG8" s="343" t="n"/>
      <c r="AKH8" s="343" t="n"/>
      <c r="AKI8" s="343" t="n"/>
      <c r="AKJ8" s="343" t="n"/>
      <c r="AKK8" s="343" t="n"/>
      <c r="AKL8" s="343" t="n"/>
      <c r="AKM8" s="343" t="n"/>
      <c r="AKN8" s="343" t="n"/>
      <c r="AKO8" s="343" t="n"/>
      <c r="AKP8" s="343" t="n"/>
      <c r="AKQ8" s="343" t="n"/>
      <c r="AKR8" s="343" t="n"/>
      <c r="AKS8" s="343" t="n"/>
      <c r="AKT8" s="343" t="n"/>
      <c r="AKU8" s="343" t="n"/>
      <c r="AKV8" s="343" t="n"/>
      <c r="AKW8" s="343" t="n"/>
      <c r="AKX8" s="343" t="n"/>
      <c r="AKY8" s="343" t="n"/>
      <c r="AKZ8" s="343" t="n"/>
      <c r="ALA8" s="343" t="n"/>
      <c r="ALB8" s="343" t="n"/>
      <c r="ALC8" s="343" t="n"/>
      <c r="ALD8" s="343" t="n"/>
      <c r="ALE8" s="343" t="n"/>
      <c r="ALF8" s="343" t="n"/>
      <c r="ALG8" s="343" t="n"/>
      <c r="ALH8" s="343" t="n"/>
      <c r="ALI8" s="343" t="n"/>
      <c r="ALJ8" s="343" t="n"/>
      <c r="ALK8" s="343" t="n"/>
      <c r="ALL8" s="343" t="n"/>
      <c r="ALM8" s="343" t="n"/>
      <c r="ALN8" s="343" t="n"/>
      <c r="ALO8" s="343" t="n"/>
      <c r="ALP8" s="343" t="n"/>
      <c r="ALQ8" s="343" t="n"/>
      <c r="ALR8" s="343" t="n"/>
      <c r="ALS8" s="343" t="n"/>
      <c r="ALT8" s="343" t="n"/>
      <c r="ALU8" s="343" t="n"/>
      <c r="ALV8" s="343" t="n"/>
      <c r="ALW8" s="343" t="n"/>
      <c r="ALX8" s="343" t="n"/>
      <c r="ALY8" s="343" t="n"/>
      <c r="ALZ8" s="343" t="n"/>
      <c r="AMA8" s="343" t="n"/>
      <c r="AMB8" s="343" t="n"/>
      <c r="AMC8" s="343" t="n"/>
      <c r="AMD8" s="343" t="n"/>
      <c r="AME8" s="343" t="n"/>
      <c r="AMF8" s="343" t="n"/>
      <c r="AMG8" s="343" t="n"/>
      <c r="AMH8" s="343" t="n"/>
      <c r="AMI8" s="343" t="n"/>
      <c r="AMJ8" s="350" t="n"/>
      <c r="AMK8" s="350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86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RC165</t>
        </is>
      </c>
      <c r="B12" s="973" t="n">
        <v>0</v>
      </c>
      <c r="C12" s="353" t="n"/>
      <c r="D12" s="340" t="n"/>
      <c r="E12" s="340" t="n"/>
      <c r="F12" s="340" t="n"/>
      <c r="G12" s="340" t="n"/>
      <c r="H12" s="340" t="n"/>
      <c r="I12" s="340">
        <f>H12+G12+F12+E12+D12+C12</f>
        <v/>
      </c>
      <c r="J12" s="353" t="n"/>
    </row>
    <row r="13" ht="17.5" customHeight="1" s="885">
      <c r="A13" s="869" t="inlineStr">
        <is>
          <t>RC166</t>
        </is>
      </c>
      <c r="B13" s="973" t="n">
        <v>0.2</v>
      </c>
      <c r="C13" s="340" t="n"/>
      <c r="D13" s="340" t="n"/>
      <c r="E13" s="340" t="n"/>
      <c r="F13" s="340" t="n"/>
      <c r="G13" s="340" t="n"/>
      <c r="H13" s="340" t="n"/>
      <c r="I13" s="340">
        <f>H13+G13+F13+E13+D13+C13</f>
        <v/>
      </c>
      <c r="J13" s="340">
        <f>I13*B13</f>
        <v/>
      </c>
    </row>
    <row r="14" ht="17.5" customHeight="1" s="885">
      <c r="A14" s="869" t="inlineStr">
        <is>
          <t>RC167</t>
        </is>
      </c>
      <c r="B14" s="973" t="n">
        <v>0.5</v>
      </c>
      <c r="C14" s="340" t="n"/>
      <c r="D14" s="340" t="n"/>
      <c r="E14" s="340" t="n"/>
      <c r="F14" s="340" t="n"/>
      <c r="G14" s="340" t="n"/>
      <c r="H14" s="340" t="n"/>
      <c r="I14" s="340">
        <f>H14+G14+F14+E14+D14+C14</f>
        <v/>
      </c>
      <c r="J14" s="340">
        <f>I14*B14</f>
        <v/>
      </c>
    </row>
    <row r="15" ht="17.5" customHeight="1" s="885">
      <c r="A15" s="869" t="inlineStr">
        <is>
          <t>RC168</t>
        </is>
      </c>
      <c r="B15" s="973" t="n">
        <v>0.75</v>
      </c>
      <c r="C15" s="340" t="n"/>
      <c r="D15" s="340" t="n"/>
      <c r="E15" s="340" t="n"/>
      <c r="F15" s="340" t="n"/>
      <c r="G15" s="340" t="n"/>
      <c r="H15" s="340" t="n"/>
      <c r="I15" s="340">
        <f>H15+G15+F15+E15+D15+C15</f>
        <v/>
      </c>
      <c r="J15" s="340">
        <f>I15*B15</f>
        <v/>
      </c>
    </row>
    <row r="16" ht="17.5" customHeight="1" s="885">
      <c r="A16" s="869" t="inlineStr">
        <is>
          <t>RC169</t>
        </is>
      </c>
      <c r="B16" s="973" t="n">
        <v>1</v>
      </c>
      <c r="C16" s="340">
        <f>199344-173</f>
        <v/>
      </c>
      <c r="D16" s="340">
        <f>-(D12+D13+D14)</f>
        <v/>
      </c>
      <c r="E16" s="340" t="n"/>
      <c r="F16" s="340" t="n"/>
      <c r="G16" s="340" t="n"/>
      <c r="H16" s="340" t="n"/>
      <c r="I16" s="340">
        <f>H16+G16+F16+E16+D16+C16</f>
        <v/>
      </c>
      <c r="J16" s="340">
        <f>I16*B16</f>
        <v/>
      </c>
    </row>
    <row r="17" ht="17.5" customHeight="1" s="885">
      <c r="A17" s="869" t="inlineStr">
        <is>
          <t>RC170</t>
        </is>
      </c>
      <c r="B17" s="973" t="n">
        <v>1.5</v>
      </c>
      <c r="C17" s="340" t="n"/>
      <c r="D17" s="340" t="n"/>
      <c r="E17" s="340" t="n"/>
      <c r="F17" s="340" t="n"/>
      <c r="G17" s="340" t="n"/>
      <c r="H17" s="340" t="n"/>
      <c r="I17" s="340">
        <f>H17+G17+F17+E17+D17+C17</f>
        <v/>
      </c>
      <c r="J17" s="340">
        <f>I17*B17</f>
        <v/>
      </c>
    </row>
    <row r="18" ht="18" customFormat="1" customHeight="1" s="315">
      <c r="A18" s="869" t="inlineStr">
        <is>
          <t>RC171</t>
        </is>
      </c>
      <c r="B18" s="354" t="inlineStr">
        <is>
          <t>Total</t>
        </is>
      </c>
      <c r="C18" s="340">
        <f>C17+C16+C14+C15+C12+C13</f>
        <v/>
      </c>
      <c r="D18" s="340">
        <f>D17+D16+D14+D15+D12+D13</f>
        <v/>
      </c>
      <c r="E18" s="340">
        <f>E17+E16+E14+E15+E12+E13</f>
        <v/>
      </c>
      <c r="F18" s="340">
        <f>F17+F16+F14+F15+F12+F13</f>
        <v/>
      </c>
      <c r="G18" s="340">
        <f>G17+G16+G14+G15+G12+G13</f>
        <v/>
      </c>
      <c r="H18" s="340">
        <f>H17+H16+H14+H15+H12+H13</f>
        <v/>
      </c>
      <c r="I18" s="340">
        <f>I17+I16+I14+I15+I12+I13</f>
        <v/>
      </c>
      <c r="J18" s="340">
        <f>J17+J16+J14+J15+J12+J13</f>
        <v/>
      </c>
    </row>
    <row r="19" ht="9" customHeight="1" s="885">
      <c r="A19" s="773" t="n"/>
      <c r="B19" s="928" t="n"/>
      <c r="C19" s="928" t="n"/>
      <c r="D19" s="928" t="n"/>
      <c r="E19" s="928" t="n"/>
      <c r="F19" s="928" t="n"/>
      <c r="G19" s="928" t="n"/>
      <c r="H19" s="928" t="n"/>
      <c r="I19" s="928" t="n"/>
      <c r="J19" s="929" t="n"/>
    </row>
    <row r="20" ht="18" customHeight="1" s="885">
      <c r="A20" s="330" t="n"/>
      <c r="B20" s="355" t="inlineStr">
        <is>
          <t>Engagements de financement (hors bilan)</t>
        </is>
      </c>
      <c r="C20" s="784" t="n"/>
      <c r="D20" s="784" t="n"/>
      <c r="E20" s="784" t="n"/>
      <c r="F20" s="784" t="n"/>
      <c r="G20" s="784" t="n"/>
      <c r="H20" s="784" t="n"/>
      <c r="I20" s="784" t="n"/>
      <c r="J20" s="331" t="n"/>
    </row>
    <row r="21" ht="17.5" customHeight="1" s="885">
      <c r="A21" s="869" t="inlineStr">
        <is>
          <t>RC172</t>
        </is>
      </c>
      <c r="B21" s="973" t="n">
        <v>0</v>
      </c>
      <c r="C21" s="353" t="n"/>
      <c r="D21" s="340" t="n"/>
      <c r="E21" s="340" t="n"/>
      <c r="F21" s="340" t="n"/>
      <c r="G21" s="340" t="n"/>
      <c r="H21" s="340" t="n"/>
      <c r="I21" s="340">
        <f>H21+G21+F21+E21+D21+C21</f>
        <v/>
      </c>
      <c r="J21" s="353" t="n"/>
    </row>
    <row r="22" ht="17.5" customHeight="1" s="885">
      <c r="A22" s="869" t="inlineStr">
        <is>
          <t>RC173</t>
        </is>
      </c>
      <c r="B22" s="973" t="n">
        <v>0.2</v>
      </c>
      <c r="C22" s="340" t="n"/>
      <c r="D22" s="340" t="n"/>
      <c r="E22" s="340" t="n"/>
      <c r="F22" s="340" t="n"/>
      <c r="G22" s="340" t="n"/>
      <c r="H22" s="340" t="n"/>
      <c r="I22" s="340">
        <f>H22+G22+F22+E22+D22+C22</f>
        <v/>
      </c>
      <c r="J22" s="340">
        <f>I22*B22</f>
        <v/>
      </c>
    </row>
    <row r="23" ht="17.5" customHeight="1" s="885">
      <c r="A23" s="869" t="inlineStr">
        <is>
          <t>RC174</t>
        </is>
      </c>
      <c r="B23" s="973" t="n">
        <v>0.5</v>
      </c>
      <c r="C23" s="340" t="n"/>
      <c r="D23" s="340" t="n"/>
      <c r="E23" s="340" t="n"/>
      <c r="F23" s="340" t="n"/>
      <c r="G23" s="340" t="n"/>
      <c r="H23" s="340" t="n"/>
      <c r="I23" s="340">
        <f>H23+G23+F23+E23+D23+C23</f>
        <v/>
      </c>
      <c r="J23" s="340">
        <f>I23*B23</f>
        <v/>
      </c>
    </row>
    <row r="24" ht="17.5" customHeight="1" s="885">
      <c r="A24" s="869" t="inlineStr">
        <is>
          <t>RC175</t>
        </is>
      </c>
      <c r="B24" s="973" t="n">
        <v>0.75</v>
      </c>
      <c r="C24" s="340" t="n"/>
      <c r="D24" s="340" t="n"/>
      <c r="E24" s="340" t="n"/>
      <c r="F24" s="340" t="n"/>
      <c r="G24" s="340" t="n"/>
      <c r="H24" s="340" t="n"/>
      <c r="I24" s="340">
        <f>H24+G24+F24+E24+D24+C24</f>
        <v/>
      </c>
      <c r="J24" s="340">
        <f>I24*B24</f>
        <v/>
      </c>
    </row>
    <row r="25" ht="17.5" customHeight="1" s="885">
      <c r="A25" s="869" t="inlineStr">
        <is>
          <t>RC176</t>
        </is>
      </c>
      <c r="B25" s="973" t="n">
        <v>1</v>
      </c>
      <c r="C25" s="340">
        <f>'EP10'!N16</f>
        <v/>
      </c>
      <c r="D25" s="340" t="n"/>
      <c r="E25" s="340" t="n"/>
      <c r="F25" s="340" t="n"/>
      <c r="G25" s="340" t="n"/>
      <c r="H25" s="340" t="n"/>
      <c r="I25" s="340">
        <f>H25+G25+F25+E25+D25+C25</f>
        <v/>
      </c>
      <c r="J25" s="340">
        <f>I25*B25</f>
        <v/>
      </c>
    </row>
    <row r="26" ht="17.5" customHeight="1" s="885">
      <c r="A26" s="869" t="inlineStr">
        <is>
          <t>RC177</t>
        </is>
      </c>
      <c r="B26" s="973" t="n">
        <v>1.5</v>
      </c>
      <c r="C26" s="340" t="n"/>
      <c r="D26" s="340" t="n"/>
      <c r="E26" s="340" t="n"/>
      <c r="F26" s="340" t="n"/>
      <c r="G26" s="340" t="n"/>
      <c r="H26" s="340" t="n"/>
      <c r="I26" s="340">
        <f>H26+G26+F26+E26+D26+C26</f>
        <v/>
      </c>
      <c r="J26" s="340">
        <f>I26*B26</f>
        <v/>
      </c>
    </row>
    <row r="27" ht="18" customHeight="1" s="885">
      <c r="A27" s="869" t="inlineStr">
        <is>
          <t>RC178</t>
        </is>
      </c>
      <c r="B27" s="356" t="inlineStr">
        <is>
          <t>Total</t>
        </is>
      </c>
      <c r="C27" s="340">
        <f>C26+C25+C23+C24+C21+C22</f>
        <v/>
      </c>
      <c r="D27" s="340">
        <f>D26+D25+D23+D24+D21+D22</f>
        <v/>
      </c>
      <c r="E27" s="340">
        <f>E26+E25+E23+E24+E21+E22</f>
        <v/>
      </c>
      <c r="F27" s="340">
        <f>F26+F25+F23+F24+F21+F22</f>
        <v/>
      </c>
      <c r="G27" s="340">
        <f>G26+G25+G23+G24+G21+G22</f>
        <v/>
      </c>
      <c r="H27" s="340">
        <f>H26+H25+H23+H24+H21+H22</f>
        <v/>
      </c>
      <c r="I27" s="340">
        <f>I26+I25+I23+I24+I21+I22</f>
        <v/>
      </c>
      <c r="J27" s="340">
        <f>J26+J25+J23+J24+J21+J22</f>
        <v/>
      </c>
    </row>
    <row r="28" ht="9" customHeight="1" s="885">
      <c r="A28" s="773" t="n"/>
      <c r="B28" s="928" t="n"/>
      <c r="C28" s="928" t="n"/>
      <c r="D28" s="928" t="n"/>
      <c r="E28" s="928" t="n"/>
      <c r="F28" s="928" t="n"/>
      <c r="G28" s="928" t="n"/>
      <c r="H28" s="928" t="n"/>
      <c r="I28" s="928" t="n"/>
      <c r="J28" s="929" t="n"/>
    </row>
    <row r="29" ht="18" customHeight="1" s="885">
      <c r="A29" s="330" t="n"/>
      <c r="B29" s="355" t="inlineStr">
        <is>
          <t>Autres engagements de hors-bilan</t>
        </is>
      </c>
      <c r="C29" s="784" t="n"/>
      <c r="D29" s="784" t="n"/>
      <c r="E29" s="784" t="n"/>
      <c r="F29" s="784" t="n"/>
      <c r="G29" s="784" t="n"/>
      <c r="H29" s="784" t="n"/>
      <c r="I29" s="784" t="n"/>
      <c r="J29" s="331" t="n"/>
    </row>
    <row r="30" ht="17.5" customHeight="1" s="885">
      <c r="A30" s="869" t="inlineStr">
        <is>
          <t>RC179</t>
        </is>
      </c>
      <c r="B30" s="973" t="n">
        <v>0</v>
      </c>
      <c r="C30" s="353" t="n"/>
      <c r="D30" s="340" t="n"/>
      <c r="E30" s="340" t="n"/>
      <c r="F30" s="340" t="n"/>
      <c r="G30" s="340" t="n"/>
      <c r="H30" s="340" t="n"/>
      <c r="I30" s="340">
        <f>H30+G30+F30+E30+D30+C30</f>
        <v/>
      </c>
      <c r="J30" s="353" t="n"/>
    </row>
    <row r="31" ht="17.5" customHeight="1" s="885">
      <c r="A31" s="869" t="inlineStr">
        <is>
          <t>RC180</t>
        </is>
      </c>
      <c r="B31" s="973" t="n">
        <v>0.2</v>
      </c>
      <c r="C31" s="340" t="n"/>
      <c r="D31" s="340" t="n"/>
      <c r="E31" s="340" t="n"/>
      <c r="F31" s="340" t="n"/>
      <c r="G31" s="340" t="n"/>
      <c r="H31" s="340" t="n"/>
      <c r="I31" s="340">
        <f>H31+G31+F31+E31+D31+C31</f>
        <v/>
      </c>
      <c r="J31" s="340">
        <f>I31*B31</f>
        <v/>
      </c>
    </row>
    <row r="32" ht="17.5" customHeight="1" s="885">
      <c r="A32" s="869" t="inlineStr">
        <is>
          <t>RC181</t>
        </is>
      </c>
      <c r="B32" s="973" t="n">
        <v>0.5</v>
      </c>
      <c r="C32" s="340" t="n"/>
      <c r="D32" s="340" t="n"/>
      <c r="E32" s="340" t="n"/>
      <c r="F32" s="340" t="n"/>
      <c r="G32" s="340" t="n"/>
      <c r="H32" s="340" t="n"/>
      <c r="I32" s="340">
        <f>H32+G32+F32+E32+D32+C32</f>
        <v/>
      </c>
      <c r="J32" s="340">
        <f>I32*B32</f>
        <v/>
      </c>
    </row>
    <row r="33" ht="17.5" customHeight="1" s="885">
      <c r="A33" s="869" t="inlineStr">
        <is>
          <t>RC182</t>
        </is>
      </c>
      <c r="B33" s="973" t="n">
        <v>0.75</v>
      </c>
      <c r="C33" s="340" t="n"/>
      <c r="D33" s="340" t="n"/>
      <c r="E33" s="340" t="n"/>
      <c r="F33" s="340" t="n"/>
      <c r="G33" s="340" t="n"/>
      <c r="H33" s="340" t="n"/>
      <c r="I33" s="340">
        <f>H33+G33+F33+E33+D33+C33</f>
        <v/>
      </c>
      <c r="J33" s="340">
        <f>I33*B33</f>
        <v/>
      </c>
    </row>
    <row r="34" ht="17.5" customHeight="1" s="885">
      <c r="A34" s="869" t="inlineStr">
        <is>
          <t>RC183</t>
        </is>
      </c>
      <c r="B34" s="973" t="n">
        <v>1</v>
      </c>
      <c r="C34" s="340">
        <f>'EP10'!N35</f>
        <v/>
      </c>
      <c r="D34" s="340" t="n"/>
      <c r="E34" s="340" t="n"/>
      <c r="F34" s="340" t="n"/>
      <c r="G34" s="340" t="n"/>
      <c r="H34" s="340" t="n"/>
      <c r="I34" s="340">
        <f>H34+G34+F34+E34+D34+C34</f>
        <v/>
      </c>
      <c r="J34" s="340">
        <f>I34*B34</f>
        <v/>
      </c>
    </row>
    <row r="35" ht="17.5" customHeight="1" s="885">
      <c r="A35" s="869" t="inlineStr">
        <is>
          <t>RC184</t>
        </is>
      </c>
      <c r="B35" s="973" t="n">
        <v>1.5</v>
      </c>
      <c r="C35" s="340" t="n"/>
      <c r="D35" s="340" t="n"/>
      <c r="E35" s="340" t="n"/>
      <c r="F35" s="340" t="n"/>
      <c r="G35" s="340" t="n"/>
      <c r="H35" s="340" t="n"/>
      <c r="I35" s="340">
        <f>H35+G35+F35+E35+D35+C35</f>
        <v/>
      </c>
      <c r="J35" s="340">
        <f>I35*B35</f>
        <v/>
      </c>
    </row>
    <row r="36" ht="18" customHeight="1" s="885">
      <c r="A36" s="869" t="inlineStr">
        <is>
          <t>RC185</t>
        </is>
      </c>
      <c r="B36" s="356" t="inlineStr">
        <is>
          <t>Total</t>
        </is>
      </c>
      <c r="C36" s="340">
        <f>C35+C34+C32+C33+C30+C31</f>
        <v/>
      </c>
      <c r="D36" s="340">
        <f>D35+D34+D32+D33+D30+D31</f>
        <v/>
      </c>
      <c r="E36" s="340">
        <f>E35+E34+E32+E33+E30+E31</f>
        <v/>
      </c>
      <c r="F36" s="340">
        <f>F35+F34+F32+F33+F30+F31</f>
        <v/>
      </c>
      <c r="G36" s="340">
        <f>G35+G34+G32+G33+G30+G31</f>
        <v/>
      </c>
      <c r="H36" s="340">
        <f>H35+H34+H32+H33+H30+H31</f>
        <v/>
      </c>
      <c r="I36" s="340">
        <f>I35+I34+I32+I33+I30+I31</f>
        <v/>
      </c>
      <c r="J36" s="340">
        <f>J35+J34+J32+J33+J30+J31</f>
        <v/>
      </c>
    </row>
    <row r="37" ht="9" customHeight="1" s="885">
      <c r="A37" s="773" t="n"/>
      <c r="B37" s="928" t="n"/>
      <c r="C37" s="928" t="n"/>
      <c r="D37" s="928" t="n"/>
      <c r="E37" s="928" t="n"/>
      <c r="F37" s="928" t="n"/>
      <c r="G37" s="928" t="n"/>
      <c r="H37" s="928" t="n"/>
      <c r="I37" s="928" t="n"/>
      <c r="J37" s="929" t="n"/>
    </row>
    <row r="38" ht="18" customHeight="1" s="885">
      <c r="A38" s="330" t="n"/>
      <c r="B38" s="355" t="inlineStr">
        <is>
          <t>Expositions soumises au risque de contrepartie</t>
        </is>
      </c>
      <c r="C38" s="784" t="n"/>
      <c r="D38" s="784" t="n"/>
      <c r="E38" s="784" t="n"/>
      <c r="F38" s="784" t="n"/>
      <c r="G38" s="784" t="n"/>
      <c r="H38" s="784" t="n"/>
      <c r="I38" s="784" t="n"/>
      <c r="J38" s="331" t="n"/>
    </row>
    <row r="39" ht="17.5" customHeight="1" s="885">
      <c r="A39" s="869" t="inlineStr">
        <is>
          <t>RC186</t>
        </is>
      </c>
      <c r="B39" s="973" t="n">
        <v>0</v>
      </c>
      <c r="C39" s="353" t="n"/>
      <c r="D39" s="340" t="n"/>
      <c r="E39" s="340" t="n"/>
      <c r="F39" s="340" t="n"/>
      <c r="G39" s="340" t="n"/>
      <c r="H39" s="340" t="n"/>
      <c r="I39" s="340" t="n"/>
      <c r="J39" s="353" t="n"/>
    </row>
    <row r="40" ht="17.5" customHeight="1" s="885">
      <c r="A40" s="869" t="inlineStr">
        <is>
          <t>RC187</t>
        </is>
      </c>
      <c r="B40" s="973" t="n">
        <v>0.2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7.5" customHeight="1" s="885">
      <c r="A41" s="869" t="inlineStr">
        <is>
          <t>RC188</t>
        </is>
      </c>
      <c r="B41" s="973" t="n">
        <v>0.5</v>
      </c>
      <c r="C41" s="340" t="n"/>
      <c r="D41" s="340" t="n"/>
      <c r="E41" s="340" t="n"/>
      <c r="F41" s="340" t="n"/>
      <c r="G41" s="340" t="n"/>
      <c r="H41" s="340" t="n"/>
      <c r="I41" s="340" t="n"/>
      <c r="J41" s="340" t="n"/>
    </row>
    <row r="42" ht="17.5" customHeight="1" s="885">
      <c r="A42" s="869" t="inlineStr">
        <is>
          <t>RC189</t>
        </is>
      </c>
      <c r="B42" s="973" t="n">
        <v>0.75</v>
      </c>
      <c r="C42" s="340" t="n"/>
      <c r="D42" s="340" t="n"/>
      <c r="E42" s="340" t="n"/>
      <c r="F42" s="340" t="n"/>
      <c r="G42" s="340" t="n"/>
      <c r="H42" s="340" t="n"/>
      <c r="I42" s="340" t="n"/>
      <c r="J42" s="340" t="n"/>
    </row>
    <row r="43" ht="17.5" customHeight="1" s="885">
      <c r="A43" s="869" t="inlineStr">
        <is>
          <t>RC190</t>
        </is>
      </c>
      <c r="B43" s="973" t="n">
        <v>1</v>
      </c>
      <c r="C43" s="340" t="n"/>
      <c r="D43" s="340" t="n"/>
      <c r="E43" s="340" t="n"/>
      <c r="F43" s="340" t="n"/>
      <c r="G43" s="340" t="n"/>
      <c r="H43" s="340" t="n"/>
      <c r="I43" s="340" t="n"/>
      <c r="J43" s="340" t="n"/>
    </row>
    <row r="44" ht="17.5" customHeight="1" s="885">
      <c r="A44" s="869" t="inlineStr">
        <is>
          <t>RC191</t>
        </is>
      </c>
      <c r="B44" s="973" t="n">
        <v>1.5</v>
      </c>
      <c r="C44" s="340" t="n"/>
      <c r="D44" s="340" t="n"/>
      <c r="E44" s="340" t="n"/>
      <c r="F44" s="340" t="n"/>
      <c r="G44" s="340" t="n"/>
      <c r="H44" s="340" t="n"/>
      <c r="I44" s="340" t="n"/>
      <c r="J44" s="340" t="n"/>
    </row>
    <row r="45" ht="18" customHeight="1" s="885">
      <c r="A45" s="869" t="inlineStr">
        <is>
          <t>RC192</t>
        </is>
      </c>
      <c r="B45" s="356" t="inlineStr">
        <is>
          <t>Total</t>
        </is>
      </c>
      <c r="C45" s="340" t="n"/>
      <c r="D45" s="340" t="n"/>
      <c r="E45" s="340" t="n"/>
      <c r="F45" s="340" t="n"/>
      <c r="G45" s="340" t="n"/>
      <c r="H45" s="340" t="n"/>
      <c r="I45" s="340" t="n"/>
      <c r="J45" s="340" t="n"/>
    </row>
    <row r="46" ht="9" customHeight="1" s="885">
      <c r="A46" s="769" t="n"/>
      <c r="B46" s="886" t="n"/>
      <c r="C46" s="886" t="n"/>
      <c r="D46" s="886" t="n"/>
      <c r="E46" s="886" t="n"/>
      <c r="F46" s="886" t="n"/>
      <c r="G46" s="886" t="n"/>
      <c r="H46" s="886" t="n"/>
      <c r="I46" s="886" t="n"/>
      <c r="J46" s="957" t="n"/>
    </row>
    <row r="47" ht="18" customFormat="1" customHeight="1" s="315">
      <c r="A47" s="237" t="inlineStr">
        <is>
          <t>RC193</t>
        </is>
      </c>
      <c r="B47" s="357" t="inlineStr">
        <is>
          <t>TOTAL EXPOSITIONS SUR LES ENTREPRISES</t>
        </is>
      </c>
      <c r="C47" s="340">
        <f>C18+C27+C36+C45</f>
        <v/>
      </c>
      <c r="D47" s="340">
        <f>D18+D27+D36+D45</f>
        <v/>
      </c>
      <c r="E47" s="340">
        <f>E18+E27+E36+E45</f>
        <v/>
      </c>
      <c r="F47" s="340">
        <f>F18+F27+F36+F45</f>
        <v/>
      </c>
      <c r="G47" s="340">
        <f>G18+G27+G36+G45</f>
        <v/>
      </c>
      <c r="H47" s="340">
        <f>H18+H27+H36+H45</f>
        <v/>
      </c>
      <c r="I47" s="340">
        <f>I18+I27+I36+I45</f>
        <v/>
      </c>
      <c r="J47" s="340">
        <f>J18+J27+J36+J45</f>
        <v/>
      </c>
    </row>
    <row r="48" ht="9" customHeight="1" s="885">
      <c r="A48" s="782" t="n"/>
      <c r="B48" s="782" t="n"/>
      <c r="C48" s="886" t="n"/>
      <c r="D48" s="886" t="n"/>
      <c r="E48" s="886" t="n"/>
      <c r="F48" s="886" t="n"/>
      <c r="G48" s="886" t="n"/>
      <c r="H48" s="886" t="n"/>
      <c r="I48" s="886" t="n"/>
      <c r="J48" s="886" t="n"/>
    </row>
    <row r="49" ht="9" customHeight="1" s="885">
      <c r="A49" s="782" t="n"/>
      <c r="B49" s="782" t="n"/>
      <c r="C49" s="782" t="n"/>
      <c r="D49" s="782" t="n"/>
      <c r="E49" s="782" t="n"/>
      <c r="F49" s="782" t="n"/>
      <c r="G49" s="782" t="n"/>
      <c r="H49" s="782" t="n"/>
      <c r="I49" s="782" t="n"/>
      <c r="J49" s="782" t="n"/>
    </row>
    <row r="50" ht="18" customHeight="1" s="885">
      <c r="A50" s="783" t="inlineStr">
        <is>
          <t>Poste mémoire - Expositions déclassées dans la catégorie Entreprises</t>
        </is>
      </c>
      <c r="B50" s="886" t="n"/>
      <c r="C50" s="886" t="n"/>
      <c r="D50" s="886" t="n"/>
      <c r="E50" s="886" t="n"/>
      <c r="F50" s="886" t="n"/>
      <c r="G50" s="886" t="n"/>
      <c r="H50" s="886" t="n"/>
      <c r="I50" s="782" t="n"/>
      <c r="J50" s="782" t="n"/>
    </row>
    <row r="51" ht="17.5" customHeight="1" s="885">
      <c r="A51" s="784" t="n"/>
      <c r="B51" s="956" t="n"/>
      <c r="C51" s="956" t="n"/>
      <c r="D51" s="956" t="n"/>
      <c r="E51" s="956" t="n"/>
      <c r="F51" s="956" t="n"/>
      <c r="G51" s="956" t="n"/>
      <c r="H51" s="956" t="n"/>
      <c r="I51" s="782" t="n"/>
      <c r="J51" s="782" t="n"/>
    </row>
    <row r="52" ht="45" customHeight="1" s="885">
      <c r="A52" s="835" t="inlineStr">
        <is>
          <t>Code DISPRU</t>
        </is>
      </c>
      <c r="B52" s="785" t="inlineStr">
        <is>
          <t>Poste</t>
        </is>
      </c>
      <c r="C52" s="928" t="n"/>
      <c r="D52" s="928" t="n"/>
      <c r="E52" s="928" t="n"/>
      <c r="F52" s="928" t="n"/>
      <c r="G52" s="928" t="n"/>
      <c r="H52" s="929" t="n"/>
      <c r="I52" s="871" t="inlineStr">
        <is>
          <t>Exposition nette après ARC</t>
        </is>
      </c>
      <c r="J52" s="833" t="inlineStr">
        <is>
          <t>Actifs pondérés des risques</t>
        </is>
      </c>
    </row>
    <row r="53" ht="17.5" customHeight="1" s="885">
      <c r="A53" s="237" t="inlineStr">
        <is>
          <t>RC194</t>
        </is>
      </c>
      <c r="B53" s="780" t="inlineStr">
        <is>
          <t>Expositions sur les organismes publics hors administration  centrale</t>
        </is>
      </c>
      <c r="C53" s="894" t="n"/>
      <c r="D53" s="894" t="n"/>
      <c r="E53" s="894" t="n"/>
      <c r="F53" s="894" t="n"/>
      <c r="G53" s="894" t="n"/>
      <c r="H53" s="895" t="n"/>
      <c r="I53" s="340">
        <f>'EP13'!I43</f>
        <v/>
      </c>
      <c r="J53" s="340">
        <f>'EP13'!J43</f>
        <v/>
      </c>
    </row>
    <row r="54" ht="17.5" customHeight="1" s="885">
      <c r="A54" s="237" t="inlineStr">
        <is>
          <t>RC195</t>
        </is>
      </c>
      <c r="B54" s="780" t="inlineStr">
        <is>
          <t>Expositions sur la clientèle de détail</t>
        </is>
      </c>
      <c r="C54" s="894" t="n"/>
      <c r="D54" s="894" t="n"/>
      <c r="E54" s="894" t="n"/>
      <c r="F54" s="894" t="n"/>
      <c r="G54" s="894" t="n"/>
      <c r="H54" s="895" t="n"/>
      <c r="I54" s="340">
        <f>'EP17'!I38</f>
        <v/>
      </c>
      <c r="J54" s="340">
        <f>'EP17'!J38</f>
        <v/>
      </c>
    </row>
    <row r="55" ht="17.5" customHeight="1" s="885">
      <c r="A55" s="237" t="inlineStr">
        <is>
          <t>RC196</t>
        </is>
      </c>
      <c r="B55" s="780" t="inlineStr">
        <is>
          <t>Expositions sur les prêts garantis par l'immobilier commercial</t>
        </is>
      </c>
      <c r="C55" s="894" t="n"/>
      <c r="D55" s="894" t="n"/>
      <c r="E55" s="894" t="n"/>
      <c r="F55" s="894" t="n"/>
      <c r="G55" s="894" t="n"/>
      <c r="H55" s="895" t="n"/>
      <c r="I55" s="340">
        <f>'EP19'!I38</f>
        <v/>
      </c>
      <c r="J55" s="340">
        <f>'EP19'!J38</f>
        <v/>
      </c>
    </row>
    <row r="56" ht="18" customHeight="1" s="885">
      <c r="A56" s="237" t="inlineStr">
        <is>
          <t>RC197</t>
        </is>
      </c>
      <c r="B56" s="781" t="inlineStr">
        <is>
          <t>TOTAL</t>
        </is>
      </c>
      <c r="C56" s="894" t="n"/>
      <c r="D56" s="894" t="n"/>
      <c r="E56" s="894" t="n"/>
      <c r="F56" s="894" t="n"/>
      <c r="G56" s="894" t="n"/>
      <c r="H56" s="895" t="n"/>
      <c r="I56" s="340">
        <f>I55+I54+I53</f>
        <v/>
      </c>
      <c r="J56" s="340">
        <f>J55+J54+J53</f>
        <v/>
      </c>
    </row>
    <row r="57" ht="9" customHeight="1" s="885">
      <c r="J57" s="770" t="n"/>
    </row>
    <row r="58" ht="9" customHeight="1" s="885">
      <c r="J58" s="770" t="n"/>
    </row>
    <row r="59" ht="9" customHeight="1" s="885">
      <c r="J59" s="770" t="n"/>
    </row>
    <row r="60" ht="9" customHeight="1" s="885">
      <c r="J60" s="770" t="n"/>
    </row>
    <row r="61" ht="9" customHeight="1" s="885">
      <c r="J61" s="770" t="n"/>
    </row>
    <row r="62" ht="9" customHeight="1" s="885">
      <c r="J62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ujg+v9NgX51VVTop192ow==" formatRows="1" sort="1" spinCount="100000" hashValue="yukHsbZZALgf7riP5WBq/BbNsmyJpT0F2JmXLVpueotSmlDOvNnPcnFUkD+I/mPKUts5kRSLjFuF9edJydcuUA=="/>
  <mergeCells count="19">
    <mergeCell ref="B11:J11"/>
    <mergeCell ref="A51:H51"/>
    <mergeCell ref="B55:H55"/>
    <mergeCell ref="B8:B9"/>
    <mergeCell ref="G8:H8"/>
    <mergeCell ref="A28:J28"/>
    <mergeCell ref="A19:J19"/>
    <mergeCell ref="B54:H54"/>
    <mergeCell ref="D8:F8"/>
    <mergeCell ref="B1:I1"/>
    <mergeCell ref="A50:H50"/>
    <mergeCell ref="A8:A9"/>
    <mergeCell ref="B56:H56"/>
    <mergeCell ref="B52:H52"/>
    <mergeCell ref="A37:J37"/>
    <mergeCell ref="A46:J46"/>
    <mergeCell ref="J8:J9"/>
    <mergeCell ref="B53:H53"/>
    <mergeCell ref="B48:J48"/>
  </mergeCells>
  <pageMargins left="0.708333333333333" right="0.708333333333333" top="0.747916666666667" bottom="0.747916666666667" header="0.511811023622047" footer="0.315277777777778"/>
  <pageSetup orientation="landscape" paperSize="9" scale="45" horizontalDpi="300" verticalDpi="300"/>
  <headerFooter>
    <oddHeader/>
    <oddFooter>&amp;R&amp;P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zoomScale="60" zoomScaleNormal="60" workbookViewId="0">
      <selection activeCell="C16" sqref="C16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LA CLIENTELE DE DETAIL 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EP17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19.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RC198</t>
        </is>
      </c>
      <c r="B12" s="974" t="n">
        <v>0</v>
      </c>
      <c r="C12" s="361" t="n"/>
      <c r="D12" s="340" t="n"/>
      <c r="E12" s="340" t="n"/>
      <c r="F12" s="340" t="n"/>
      <c r="G12" s="340" t="n"/>
      <c r="H12" s="340" t="n"/>
      <c r="I12" s="340">
        <f>H12+G12+F12+E12+D12+C12</f>
        <v/>
      </c>
      <c r="J12" s="792" t="n"/>
    </row>
    <row r="13" ht="17.5" customHeight="1" s="885">
      <c r="A13" s="869" t="inlineStr">
        <is>
          <t>RC199</t>
        </is>
      </c>
      <c r="B13" s="974" t="n">
        <v>0.2</v>
      </c>
      <c r="C13" s="362" t="n"/>
      <c r="D13" s="340" t="n"/>
      <c r="E13" s="340" t="n"/>
      <c r="F13" s="340" t="n"/>
      <c r="G13" s="340" t="n"/>
      <c r="H13" s="340" t="n"/>
      <c r="I13" s="340">
        <f>H13+G13+F13+E13+D13+C13</f>
        <v/>
      </c>
      <c r="J13" s="340">
        <f>I13*B13</f>
        <v/>
      </c>
    </row>
    <row r="14" ht="17.5" customHeight="1" s="885">
      <c r="A14" s="869" t="inlineStr">
        <is>
          <t>RC200</t>
        </is>
      </c>
      <c r="B14" s="974" t="n">
        <v>0.5</v>
      </c>
      <c r="C14" s="334" t="n"/>
      <c r="D14" s="340" t="n"/>
      <c r="E14" s="340" t="n"/>
      <c r="F14" s="340" t="n"/>
      <c r="G14" s="340" t="n"/>
      <c r="H14" s="340" t="n"/>
      <c r="I14" s="340">
        <f>H14+G14+F14+E14+D14+C14</f>
        <v/>
      </c>
      <c r="J14" s="340">
        <f>I14*B14</f>
        <v/>
      </c>
    </row>
    <row r="15" ht="17.5" customHeight="1" s="885">
      <c r="A15" s="869" t="inlineStr">
        <is>
          <t>RC201</t>
        </is>
      </c>
      <c r="B15" s="971" t="n">
        <v>0.75</v>
      </c>
      <c r="C15" s="340">
        <f>17932-960</f>
        <v/>
      </c>
      <c r="D15" s="340" t="n"/>
      <c r="E15" s="340" t="n"/>
      <c r="F15" s="340" t="n"/>
      <c r="G15" s="340" t="n"/>
      <c r="H15" s="340" t="n"/>
      <c r="I15" s="340">
        <f>H15+G15+F15+E15+D15+C15</f>
        <v/>
      </c>
      <c r="J15" s="340">
        <f>I15*B15</f>
        <v/>
      </c>
    </row>
    <row r="16" ht="17.5" customHeight="1" s="885">
      <c r="A16" s="869" t="inlineStr">
        <is>
          <t>RC202</t>
        </is>
      </c>
      <c r="B16" s="971" t="n">
        <v>1</v>
      </c>
      <c r="C16" s="340" t="n"/>
      <c r="D16" s="340" t="n"/>
      <c r="E16" s="340" t="n"/>
      <c r="F16" s="340" t="n"/>
      <c r="G16" s="340" t="n"/>
      <c r="H16" s="340" t="n"/>
      <c r="I16" s="340">
        <f>H16+G16+F16+E16+D16+C16</f>
        <v/>
      </c>
      <c r="J16" s="340">
        <f>I16*B16</f>
        <v/>
      </c>
    </row>
    <row r="17" ht="17.5" customHeight="1" s="885">
      <c r="A17" s="869" t="inlineStr">
        <is>
          <t>RC203</t>
        </is>
      </c>
      <c r="B17" s="971" t="n">
        <v>1.5</v>
      </c>
      <c r="C17" s="340" t="n"/>
      <c r="D17" s="340" t="n"/>
      <c r="E17" s="340" t="n"/>
      <c r="F17" s="340" t="n"/>
      <c r="G17" s="340" t="n"/>
      <c r="H17" s="340" t="n"/>
      <c r="I17" s="340">
        <f>H17+G17+F17+E17+D17+C17</f>
        <v/>
      </c>
      <c r="J17" s="340">
        <f>I17*B17</f>
        <v/>
      </c>
    </row>
    <row r="18" ht="18" customFormat="1" customHeight="1" s="315">
      <c r="A18" s="869" t="inlineStr">
        <is>
          <t>RC204</t>
        </is>
      </c>
      <c r="B18" s="328" t="inlineStr">
        <is>
          <t>Total</t>
        </is>
      </c>
      <c r="C18" s="340">
        <f>C12+C13+C14+C15+C16+C17</f>
        <v/>
      </c>
      <c r="D18" s="340">
        <f>D12+D13+D14+D15+D16+D17</f>
        <v/>
      </c>
      <c r="E18" s="340">
        <f>E12+E13+E14+E15+E16+E17</f>
        <v/>
      </c>
      <c r="F18" s="340">
        <f>F12+F13+F14+F15+F16+F17</f>
        <v/>
      </c>
      <c r="G18" s="340">
        <f>G12+G13+G14+G15+G16+G17</f>
        <v/>
      </c>
      <c r="H18" s="340">
        <f>H12+H13+H14+H15+H16+H17</f>
        <v/>
      </c>
      <c r="I18" s="340">
        <f>I12+I13+I14+I15+I16+I17</f>
        <v/>
      </c>
      <c r="J18" s="340">
        <f>J12+J13+J14+J15+J16+J17</f>
        <v/>
      </c>
    </row>
    <row r="19" ht="9" customHeight="1" s="885">
      <c r="A19" s="773" t="n"/>
      <c r="B19" s="928" t="n"/>
      <c r="C19" s="928" t="n"/>
      <c r="D19" s="928" t="n"/>
      <c r="E19" s="928" t="n"/>
      <c r="F19" s="928" t="n"/>
      <c r="G19" s="928" t="n"/>
      <c r="H19" s="928" t="n"/>
      <c r="I19" s="928" t="n"/>
      <c r="J19" s="929" t="n"/>
    </row>
    <row r="20" ht="18" customHeight="1" s="885">
      <c r="A20" s="330" t="n"/>
      <c r="B20" s="137" t="inlineStr">
        <is>
          <t>Engagements de financement (hors bilan)</t>
        </is>
      </c>
      <c r="C20" s="784" t="n"/>
      <c r="D20" s="784" t="n"/>
      <c r="E20" s="784" t="n"/>
      <c r="F20" s="784" t="n"/>
      <c r="G20" s="784" t="n"/>
      <c r="H20" s="784" t="n"/>
      <c r="I20" s="784" t="n"/>
      <c r="J20" s="331" t="n"/>
    </row>
    <row r="21" ht="17.5" customHeight="1" s="885">
      <c r="A21" s="869" t="inlineStr">
        <is>
          <t>RC205</t>
        </is>
      </c>
      <c r="B21" s="971" t="n">
        <v>0</v>
      </c>
      <c r="C21" s="361" t="n"/>
      <c r="D21" s="340" t="n"/>
      <c r="E21" s="340" t="n"/>
      <c r="F21" s="340" t="n"/>
      <c r="G21" s="340" t="n"/>
      <c r="H21" s="340" t="n"/>
      <c r="I21" s="340" t="n"/>
      <c r="J21" s="792" t="n"/>
    </row>
    <row r="22" ht="17.5" customHeight="1" s="885">
      <c r="A22" s="869" t="inlineStr">
        <is>
          <t>RC206</t>
        </is>
      </c>
      <c r="B22" s="971" t="n">
        <v>0.2</v>
      </c>
      <c r="C22" s="362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RC207</t>
        </is>
      </c>
      <c r="B23" s="971" t="n">
        <v>0.5</v>
      </c>
      <c r="C23" s="334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RC208</t>
        </is>
      </c>
      <c r="B24" s="971" t="n">
        <v>0.75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7.5" customHeight="1" s="885">
      <c r="A25" s="869" t="inlineStr">
        <is>
          <t>RC209</t>
        </is>
      </c>
      <c r="B25" s="971" t="n">
        <v>1</v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17.5" customHeight="1" s="885">
      <c r="A26" s="869" t="inlineStr">
        <is>
          <t>RC210</t>
        </is>
      </c>
      <c r="B26" s="971" t="n">
        <v>1.5</v>
      </c>
      <c r="C26" s="340" t="n"/>
      <c r="D26" s="340" t="n"/>
      <c r="E26" s="340" t="n"/>
      <c r="F26" s="340" t="n"/>
      <c r="G26" s="340" t="n"/>
      <c r="H26" s="340" t="n"/>
      <c r="I26" s="340" t="n"/>
      <c r="J26" s="340" t="n"/>
    </row>
    <row r="27" ht="18" customHeight="1" s="885">
      <c r="A27" s="869" t="inlineStr">
        <is>
          <t>RC211</t>
        </is>
      </c>
      <c r="B27" s="335" t="inlineStr">
        <is>
          <t>Total</t>
        </is>
      </c>
      <c r="C27" s="340" t="n"/>
      <c r="D27" s="340" t="n"/>
      <c r="E27" s="340" t="n"/>
      <c r="F27" s="340" t="n"/>
      <c r="G27" s="340" t="n"/>
      <c r="H27" s="340" t="n"/>
      <c r="I27" s="340" t="n"/>
      <c r="J27" s="340" t="n"/>
    </row>
    <row r="28" ht="9" customHeight="1" s="885">
      <c r="A28" s="773" t="n"/>
      <c r="B28" s="928" t="n"/>
      <c r="C28" s="928" t="n"/>
      <c r="D28" s="928" t="n"/>
      <c r="E28" s="928" t="n"/>
      <c r="F28" s="928" t="n"/>
      <c r="G28" s="928" t="n"/>
      <c r="H28" s="928" t="n"/>
      <c r="I28" s="928" t="n"/>
      <c r="J28" s="929" t="n"/>
    </row>
    <row r="29" ht="18" customHeight="1" s="885">
      <c r="A29" s="330" t="n"/>
      <c r="B29" s="137" t="inlineStr">
        <is>
          <t>Autres engagements de hors-bilan</t>
        </is>
      </c>
      <c r="C29" s="784" t="n"/>
      <c r="D29" s="784" t="n"/>
      <c r="E29" s="784" t="n"/>
      <c r="F29" s="784" t="n"/>
      <c r="G29" s="784" t="n"/>
      <c r="H29" s="784" t="n"/>
      <c r="I29" s="784" t="n"/>
      <c r="J29" s="331" t="n"/>
    </row>
    <row r="30" ht="17.5" customHeight="1" s="885">
      <c r="A30" s="869" t="inlineStr">
        <is>
          <t>RC212</t>
        </is>
      </c>
      <c r="B30" s="971" t="n">
        <v>0</v>
      </c>
      <c r="C30" s="361" t="n"/>
      <c r="D30" s="340" t="n"/>
      <c r="E30" s="340" t="n"/>
      <c r="F30" s="340" t="n"/>
      <c r="G30" s="340" t="n"/>
      <c r="H30" s="340" t="n"/>
      <c r="I30" s="340">
        <f>H30+G30+F30+E30+D30+C30</f>
        <v/>
      </c>
      <c r="J30" s="792" t="n"/>
    </row>
    <row r="31" ht="17.5" customHeight="1" s="885">
      <c r="A31" s="869" t="inlineStr">
        <is>
          <t>RC213</t>
        </is>
      </c>
      <c r="B31" s="971" t="n">
        <v>0.2</v>
      </c>
      <c r="C31" s="362" t="n"/>
      <c r="D31" s="340" t="n"/>
      <c r="E31" s="340" t="n"/>
      <c r="F31" s="340" t="n"/>
      <c r="G31" s="340" t="n"/>
      <c r="H31" s="340" t="n"/>
      <c r="I31" s="340">
        <f>H31+G31+F31+E31+D31+C31</f>
        <v/>
      </c>
      <c r="J31" s="340">
        <f>I31*B31</f>
        <v/>
      </c>
    </row>
    <row r="32" ht="17.5" customHeight="1" s="885">
      <c r="A32" s="869" t="inlineStr">
        <is>
          <t>RC214</t>
        </is>
      </c>
      <c r="B32" s="971" t="n">
        <v>0.5</v>
      </c>
      <c r="C32" s="334" t="n"/>
      <c r="D32" s="340" t="n"/>
      <c r="E32" s="340" t="n"/>
      <c r="F32" s="340" t="n"/>
      <c r="G32" s="340" t="n"/>
      <c r="H32" s="340" t="n"/>
      <c r="I32" s="340">
        <f>H32+G32+F32+E32+D32+C32</f>
        <v/>
      </c>
      <c r="J32" s="340">
        <f>I32*B32</f>
        <v/>
      </c>
    </row>
    <row r="33" ht="17.5" customHeight="1" s="885">
      <c r="A33" s="869" t="inlineStr">
        <is>
          <t>RC215</t>
        </is>
      </c>
      <c r="B33" s="971" t="n">
        <v>0.75</v>
      </c>
      <c r="C33" s="340">
        <f>'EP10'!N38</f>
        <v/>
      </c>
      <c r="D33" s="340" t="n"/>
      <c r="E33" s="340" t="n"/>
      <c r="F33" s="340" t="n"/>
      <c r="G33" s="340" t="n"/>
      <c r="H33" s="340" t="n"/>
      <c r="I33" s="340">
        <f>H33+G33+F33+E33+D33+C33</f>
        <v/>
      </c>
      <c r="J33" s="340">
        <f>I33*B33</f>
        <v/>
      </c>
    </row>
    <row r="34" ht="17.5" customHeight="1" s="885">
      <c r="A34" s="869" t="inlineStr">
        <is>
          <t>RC216</t>
        </is>
      </c>
      <c r="B34" s="971" t="n">
        <v>1</v>
      </c>
      <c r="C34" s="340" t="n"/>
      <c r="D34" s="340" t="n"/>
      <c r="E34" s="340" t="n"/>
      <c r="F34" s="340" t="n"/>
      <c r="G34" s="340" t="n"/>
      <c r="H34" s="340" t="n"/>
      <c r="I34" s="340">
        <f>H34+G34+F34+E34+D34+C34</f>
        <v/>
      </c>
      <c r="J34" s="340">
        <f>I34*B34</f>
        <v/>
      </c>
    </row>
    <row r="35" ht="17.5" customHeight="1" s="885">
      <c r="A35" s="869" t="inlineStr">
        <is>
          <t>RC217</t>
        </is>
      </c>
      <c r="B35" s="971" t="n">
        <v>1.5</v>
      </c>
      <c r="C35" s="340" t="n"/>
      <c r="D35" s="340" t="n"/>
      <c r="E35" s="340" t="n"/>
      <c r="F35" s="340" t="n"/>
      <c r="G35" s="340" t="n"/>
      <c r="H35" s="340" t="n"/>
      <c r="I35" s="340">
        <f>H35+G35+F35+E35+D35+C35</f>
        <v/>
      </c>
      <c r="J35" s="340">
        <f>I35*B35</f>
        <v/>
      </c>
    </row>
    <row r="36" ht="18" customHeight="1" s="885">
      <c r="A36" s="869" t="inlineStr">
        <is>
          <t>RC218</t>
        </is>
      </c>
      <c r="B36" s="335" t="inlineStr">
        <is>
          <t>Total</t>
        </is>
      </c>
      <c r="C36" s="340">
        <f>C30+C31+C32+C33+C34+C35</f>
        <v/>
      </c>
      <c r="D36" s="340">
        <f>D30+D31+D32+D33+D34+D35</f>
        <v/>
      </c>
      <c r="E36" s="340">
        <f>E30+E31+E32+E33+E34+E35</f>
        <v/>
      </c>
      <c r="F36" s="340">
        <f>F30+F31+F32+F33+F34+F35</f>
        <v/>
      </c>
      <c r="G36" s="340">
        <f>G30+G31+G32+G33+G34+G35</f>
        <v/>
      </c>
      <c r="H36" s="340">
        <f>H30+H31+H32+H33+H34+H35</f>
        <v/>
      </c>
      <c r="I36" s="340">
        <f>I30+I31+I32+I33+I34+I35</f>
        <v/>
      </c>
      <c r="J36" s="340">
        <f>J30+J31+J32+J33+J34+J35</f>
        <v/>
      </c>
    </row>
    <row r="37" ht="9" customHeight="1" s="885">
      <c r="A37" s="769" t="n"/>
      <c r="B37" s="886" t="n"/>
      <c r="C37" s="886" t="n"/>
      <c r="D37" s="886" t="n"/>
      <c r="E37" s="886" t="n"/>
      <c r="F37" s="886" t="n"/>
      <c r="G37" s="886" t="n"/>
      <c r="H37" s="886" t="n"/>
      <c r="I37" s="886" t="n"/>
      <c r="J37" s="957" t="n"/>
    </row>
    <row r="38" ht="18" customFormat="1" customHeight="1" s="315">
      <c r="A38" s="237" t="inlineStr">
        <is>
          <t>RC219</t>
        </is>
      </c>
      <c r="B38" s="336" t="inlineStr">
        <is>
          <t>TOTAL EXPOSITIONS SUR LA CLIENTELE DE DETAIL</t>
        </is>
      </c>
      <c r="C38" s="340">
        <f>C18+C27+C36</f>
        <v/>
      </c>
      <c r="D38" s="340">
        <f>D18+D27+D36</f>
        <v/>
      </c>
      <c r="E38" s="340">
        <f>E18+E27+E36</f>
        <v/>
      </c>
      <c r="F38" s="340">
        <f>F18+F27+F36</f>
        <v/>
      </c>
      <c r="G38" s="340">
        <f>G18+G27+G36</f>
        <v/>
      </c>
      <c r="H38" s="340">
        <f>H18+H27+H36</f>
        <v/>
      </c>
      <c r="I38" s="340">
        <f>I18+I27+I36</f>
        <v/>
      </c>
      <c r="J38" s="340">
        <f>J18+J27+J36</f>
        <v/>
      </c>
    </row>
    <row r="39" ht="9" customHeight="1" s="885">
      <c r="A39" s="782" t="n"/>
      <c r="B39" s="782" t="n"/>
      <c r="C39" s="886" t="n"/>
      <c r="D39" s="886" t="n"/>
      <c r="E39" s="886" t="n"/>
      <c r="F39" s="886" t="n"/>
      <c r="G39" s="886" t="n"/>
      <c r="H39" s="886" t="n"/>
      <c r="I39" s="886" t="n"/>
      <c r="J39" s="886" t="n"/>
    </row>
    <row r="40" ht="9" customHeight="1" s="885">
      <c r="A40" s="782" t="n"/>
      <c r="B40" s="782" t="n"/>
      <c r="C40" s="782" t="n"/>
      <c r="D40" s="782" t="n"/>
      <c r="E40" s="782" t="n"/>
      <c r="F40" s="782" t="n"/>
      <c r="G40" s="782" t="n"/>
      <c r="H40" s="782" t="n"/>
      <c r="I40" s="782" t="n"/>
      <c r="J40" s="782" t="n"/>
    </row>
    <row r="41" ht="18" customHeight="1" s="885">
      <c r="A41" s="736" t="inlineStr">
        <is>
          <t>Poste mémoire - Expositions déclassées dans la catégorie clientèle de détail</t>
        </is>
      </c>
      <c r="B41" s="886" t="n"/>
      <c r="C41" s="886" t="n"/>
      <c r="D41" s="886" t="n"/>
      <c r="E41" s="886" t="n"/>
      <c r="F41" s="886" t="n"/>
      <c r="G41" s="886" t="n"/>
      <c r="H41" s="886" t="n"/>
      <c r="I41" s="782" t="n"/>
      <c r="J41" s="782" t="n"/>
    </row>
    <row r="42" ht="17.5" customHeight="1" s="885">
      <c r="A42" s="784" t="n"/>
      <c r="B42" s="956" t="n"/>
      <c r="C42" s="956" t="n"/>
      <c r="D42" s="956" t="n"/>
      <c r="E42" s="956" t="n"/>
      <c r="F42" s="956" t="n"/>
      <c r="G42" s="956" t="n"/>
      <c r="H42" s="956" t="n"/>
      <c r="I42" s="782" t="n"/>
      <c r="J42" s="782" t="n"/>
    </row>
    <row r="43" ht="45" customHeight="1" s="885">
      <c r="A43" s="835" t="inlineStr">
        <is>
          <t>Code DISPRU</t>
        </is>
      </c>
      <c r="B43" s="785" t="inlineStr">
        <is>
          <t>Poste</t>
        </is>
      </c>
      <c r="C43" s="928" t="n"/>
      <c r="D43" s="928" t="n"/>
      <c r="E43" s="928" t="n"/>
      <c r="F43" s="928" t="n"/>
      <c r="G43" s="928" t="n"/>
      <c r="H43" s="929" t="n"/>
      <c r="I43" s="871" t="n"/>
      <c r="J43" s="833" t="n"/>
    </row>
    <row r="44" ht="17.5" customHeight="1" s="885">
      <c r="A44" s="237" t="inlineStr">
        <is>
          <t>RC220</t>
        </is>
      </c>
      <c r="B44" s="788" t="inlineStr">
        <is>
          <t>Expositions sur les prêts garantis par l'immobilier résidentiel</t>
        </is>
      </c>
      <c r="C44" s="894" t="n"/>
      <c r="D44" s="894" t="n"/>
      <c r="E44" s="894" t="n"/>
      <c r="F44" s="894" t="n"/>
      <c r="G44" s="894" t="n"/>
      <c r="H44" s="895" t="n"/>
      <c r="I44" s="340">
        <f>'EP18'!I35</f>
        <v/>
      </c>
      <c r="J44" s="340">
        <f>'EP18'!J35</f>
        <v/>
      </c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VE/IF8EwGR7RhQCrJbwSw==" formatRows="1" sort="1" spinCount="100000" hashValue="pA+iPlM7Q/il4q5dcDSVBe6HZrNZh/I+bC4mzozZZ/u5xw6jX6xWc7SzvcH5iHRU0vqINhriaxz49HnQN/kg2g=="/>
  <mergeCells count="15">
    <mergeCell ref="B11:J11"/>
    <mergeCell ref="A37:J37"/>
    <mergeCell ref="A8:A9"/>
    <mergeCell ref="B1:I1"/>
    <mergeCell ref="J8:J9"/>
    <mergeCell ref="B44:H44"/>
    <mergeCell ref="B43:H43"/>
    <mergeCell ref="A42:H42"/>
    <mergeCell ref="B8:B9"/>
    <mergeCell ref="A41:H41"/>
    <mergeCell ref="G8:H8"/>
    <mergeCell ref="D8:F8"/>
    <mergeCell ref="B39:J39"/>
    <mergeCell ref="A28:J28"/>
    <mergeCell ref="A19:J19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K41"/>
  <sheetViews>
    <sheetView view="pageBreakPreview" zoomScale="60" zoomScaleNormal="60" workbookViewId="0">
      <selection activeCell="C15" sqref="C15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PRÊTS GARANTIS PAR L'IMMOBILIER RESIDENTIEL (PG/IR)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EP18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0.2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89" t="inlineStr">
        <is>
          <t>Expositions au bilan</t>
        </is>
      </c>
      <c r="C11" s="928" t="n"/>
      <c r="D11" s="928" t="n"/>
      <c r="E11" s="928" t="n"/>
      <c r="F11" s="928" t="n"/>
      <c r="G11" s="928" t="n"/>
      <c r="H11" s="928" t="n"/>
      <c r="I11" s="928" t="n"/>
      <c r="J11" s="929" t="n"/>
    </row>
    <row r="12" ht="17.5" customHeight="1" s="885">
      <c r="A12" s="869" t="inlineStr">
        <is>
          <t>RC221</t>
        </is>
      </c>
      <c r="B12" s="975" t="n">
        <v>0</v>
      </c>
      <c r="C12" s="361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RC222</t>
        </is>
      </c>
      <c r="B13" s="976" t="n">
        <v>0.2</v>
      </c>
      <c r="C13" s="362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RC223</t>
        </is>
      </c>
      <c r="B14" s="976" t="n">
        <v>0.35</v>
      </c>
      <c r="C14" s="340">
        <f>1644+1133</f>
        <v/>
      </c>
      <c r="D14" s="340" t="n"/>
      <c r="E14" s="340" t="n"/>
      <c r="F14" s="340" t="n"/>
      <c r="G14" s="340" t="n"/>
      <c r="H14" s="340" t="n"/>
      <c r="I14" s="340">
        <f>H14+G14+F14+E14+D14+C14</f>
        <v/>
      </c>
      <c r="J14" s="340">
        <f>I14*B14</f>
        <v/>
      </c>
    </row>
    <row r="15" ht="17.5" customHeight="1" s="885">
      <c r="A15" s="869" t="inlineStr">
        <is>
          <t>RC224</t>
        </is>
      </c>
      <c r="B15" s="976" t="n">
        <v>0.5</v>
      </c>
      <c r="C15" s="362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RC225</t>
        </is>
      </c>
      <c r="B16" s="976" t="n">
        <v>1</v>
      </c>
      <c r="C16" s="340" t="n"/>
      <c r="D16" s="340" t="n"/>
      <c r="E16" s="340" t="n"/>
      <c r="F16" s="340" t="n"/>
      <c r="G16" s="340" t="n"/>
      <c r="H16" s="340" t="n"/>
      <c r="I16" s="340">
        <f>H16+G16+F16+E16+D16+C16</f>
        <v/>
      </c>
      <c r="J16" s="340">
        <f>I16*B16</f>
        <v/>
      </c>
    </row>
    <row r="17" ht="18" customFormat="1" customHeight="1" s="315">
      <c r="A17" s="869" t="inlineStr">
        <is>
          <t>RC226</t>
        </is>
      </c>
      <c r="B17" s="328" t="inlineStr">
        <is>
          <t>Total</t>
        </is>
      </c>
      <c r="C17" s="340">
        <f>C12+C13+C14+C15+C16</f>
        <v/>
      </c>
      <c r="D17" s="340">
        <f>D12+D13+D14+D15+D16</f>
        <v/>
      </c>
      <c r="E17" s="340">
        <f>E12+E13+E14+E15+E16</f>
        <v/>
      </c>
      <c r="F17" s="340">
        <f>F12+F13+F14+F15+F16</f>
        <v/>
      </c>
      <c r="G17" s="340">
        <f>G12+G13+G14+G15+G16</f>
        <v/>
      </c>
      <c r="H17" s="340">
        <f>H12+H13+H14+H15+H16</f>
        <v/>
      </c>
      <c r="I17" s="340">
        <f>I12+I13+I14+I15+I16</f>
        <v/>
      </c>
      <c r="J17" s="340">
        <f>J12+J13+J14+J15+J16</f>
        <v/>
      </c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RC227</t>
        </is>
      </c>
      <c r="B20" s="975" t="n">
        <v>0</v>
      </c>
      <c r="C20" s="361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869" t="inlineStr">
        <is>
          <t>RC228</t>
        </is>
      </c>
      <c r="B21" s="976" t="n">
        <v>0.2</v>
      </c>
      <c r="C21" s="362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869" t="inlineStr">
        <is>
          <t>RC229</t>
        </is>
      </c>
      <c r="B22" s="976" t="n">
        <v>0.35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RC230</t>
        </is>
      </c>
      <c r="B23" s="976" t="n">
        <v>0.5</v>
      </c>
      <c r="C23" s="362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RC231</t>
        </is>
      </c>
      <c r="B24" s="976" t="n">
        <v>1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Format="1" customHeight="1" s="315">
      <c r="A25" s="869" t="inlineStr">
        <is>
          <t>RC232</t>
        </is>
      </c>
      <c r="B25" s="328" t="inlineStr">
        <is>
          <t>Total</t>
        </is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RC233</t>
        </is>
      </c>
      <c r="B28" s="975" t="n">
        <v>0</v>
      </c>
      <c r="C28" s="361" t="n"/>
      <c r="D28" s="340" t="n"/>
      <c r="E28" s="340" t="n"/>
      <c r="F28" s="340" t="n"/>
      <c r="G28" s="340" t="n"/>
      <c r="H28" s="340" t="n"/>
      <c r="I28" s="340" t="n"/>
      <c r="J28" s="792" t="n"/>
    </row>
    <row r="29" ht="17.5" customHeight="1" s="885">
      <c r="A29" s="869" t="inlineStr">
        <is>
          <t>RC234</t>
        </is>
      </c>
      <c r="B29" s="976" t="n">
        <v>0.2</v>
      </c>
      <c r="C29" s="362" t="n"/>
      <c r="D29" s="340" t="n"/>
      <c r="E29" s="340" t="n"/>
      <c r="F29" s="340" t="n"/>
      <c r="G29" s="340" t="n"/>
      <c r="H29" s="340" t="n"/>
      <c r="I29" s="340" t="n"/>
      <c r="J29" s="340" t="n"/>
    </row>
    <row r="30" ht="17.5" customHeight="1" s="885">
      <c r="A30" s="869" t="inlineStr">
        <is>
          <t>RC235</t>
        </is>
      </c>
      <c r="B30" s="976" t="n">
        <v>0.35</v>
      </c>
      <c r="C30" s="340" t="n"/>
      <c r="D30" s="340" t="n"/>
      <c r="E30" s="340" t="n"/>
      <c r="F30" s="340" t="n"/>
      <c r="G30" s="340" t="n"/>
      <c r="H30" s="340" t="n"/>
      <c r="I30" s="340" t="n"/>
      <c r="J30" s="340" t="n"/>
    </row>
    <row r="31" ht="17.5" customHeight="1" s="885">
      <c r="A31" s="869" t="inlineStr">
        <is>
          <t>RC236</t>
        </is>
      </c>
      <c r="B31" s="976" t="n">
        <v>0.5</v>
      </c>
      <c r="C31" s="362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RC237</t>
        </is>
      </c>
      <c r="B32" s="976" t="n">
        <v>1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8" customFormat="1" customHeight="1" s="315">
      <c r="A33" s="869" t="inlineStr">
        <is>
          <t>RC238</t>
        </is>
      </c>
      <c r="B33" s="328" t="inlineStr">
        <is>
          <t>Total</t>
        </is>
      </c>
      <c r="C33" s="340" t="n"/>
      <c r="D33" s="340" t="n"/>
      <c r="E33" s="340" t="n"/>
      <c r="F33" s="340" t="n"/>
      <c r="G33" s="340" t="n"/>
      <c r="H33" s="340" t="n"/>
      <c r="I33" s="340" t="n"/>
      <c r="J33" s="340" t="n"/>
    </row>
    <row r="34" ht="9" customHeight="1" s="885">
      <c r="A34" s="769" t="n"/>
      <c r="B34" s="886" t="n"/>
      <c r="C34" s="886" t="n"/>
      <c r="D34" s="886" t="n"/>
      <c r="E34" s="886" t="n"/>
      <c r="F34" s="886" t="n"/>
      <c r="G34" s="886" t="n"/>
      <c r="H34" s="886" t="n"/>
      <c r="I34" s="886" t="n"/>
      <c r="J34" s="957" t="n"/>
    </row>
    <row r="35" ht="18" customFormat="1" customHeight="1" s="315">
      <c r="A35" s="237" t="inlineStr">
        <is>
          <t>RC239</t>
        </is>
      </c>
      <c r="B35" s="336" t="inlineStr">
        <is>
          <t>TOTAL EXPOSITIONS SUR LES PG/IR</t>
        </is>
      </c>
      <c r="C35" s="340">
        <f>C17+C25+C33</f>
        <v/>
      </c>
      <c r="D35" s="340">
        <f>D17+D25+D33</f>
        <v/>
      </c>
      <c r="E35" s="340">
        <f>E17+E25+E33</f>
        <v/>
      </c>
      <c r="F35" s="340">
        <f>F17+F25+F33</f>
        <v/>
      </c>
      <c r="G35" s="340">
        <f>G17+G25+G33</f>
        <v/>
      </c>
      <c r="H35" s="340">
        <f>H17+H25+H33</f>
        <v/>
      </c>
      <c r="I35" s="340">
        <f>I17+I25+I33</f>
        <v/>
      </c>
      <c r="J35" s="340">
        <f>J17+J25+J33</f>
        <v/>
      </c>
    </row>
    <row r="36" ht="9" customHeight="1" s="885">
      <c r="B36" s="770" t="n"/>
      <c r="C36" s="886" t="n"/>
      <c r="D36" s="886" t="n"/>
      <c r="E36" s="886" t="n"/>
      <c r="F36" s="886" t="n"/>
      <c r="G36" s="886" t="n"/>
      <c r="H36" s="886" t="n"/>
      <c r="I36" s="886" t="n"/>
      <c r="J36" s="886" t="n"/>
    </row>
    <row r="37" ht="9" customHeight="1" s="885">
      <c r="J37" s="770" t="n"/>
    </row>
    <row r="38" ht="9" customHeight="1" s="885">
      <c r="J38" s="770" t="n"/>
    </row>
    <row r="39" ht="9" customHeight="1" s="885">
      <c r="J39" s="770" t="n"/>
    </row>
    <row r="40" ht="9" customHeight="1" s="885">
      <c r="J40" s="770" t="n"/>
    </row>
    <row r="41" ht="9" customHeight="1" s="885">
      <c r="J41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cwU7GtC0YfCrD8vA3Rkkw==" formatRows="1" sort="1" spinCount="100000" hashValue="R4pazlZXrmQQP4M9O5J0i3zSx5buBLhoK/25QsaOtg9JbUEtV5MJZWlGm7RVa/LO/sZ323TbPOTTBFg1d8J6dw=="/>
  <mergeCells count="11">
    <mergeCell ref="B11:J11"/>
    <mergeCell ref="A8:A9"/>
    <mergeCell ref="J8:J9"/>
    <mergeCell ref="B36:J36"/>
    <mergeCell ref="A18:J18"/>
    <mergeCell ref="A34:J34"/>
    <mergeCell ref="B8:B9"/>
    <mergeCell ref="A26:J26"/>
    <mergeCell ref="G8:H8"/>
    <mergeCell ref="D8:F8"/>
    <mergeCell ref="B1:I1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K46"/>
  <sheetViews>
    <sheetView view="pageBreakPreview" zoomScale="60" zoomScaleNormal="60" workbookViewId="0">
      <selection activeCell="C34" sqref="C34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PRÊTS GARANTIS PAR L'IMMOBILIER COMMERCIAL (PG/IC)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EP19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1" customFormat="1" customHeight="1" s="29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</row>
    <row r="9" ht="100.5" customHeight="1" s="885">
      <c r="A9" s="896" t="n"/>
      <c r="B9" s="897" t="n"/>
      <c r="C9" s="323" t="inlineStr">
        <is>
          <t>Exposition nette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n"/>
      <c r="D10" s="833" t="n"/>
      <c r="E10" s="833" t="n"/>
      <c r="F10" s="833" t="n"/>
      <c r="G10" s="833" t="n"/>
      <c r="H10" s="833" t="n"/>
      <c r="I10" s="833" t="n"/>
      <c r="J10" s="833" t="n"/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RC240</t>
        </is>
      </c>
      <c r="B12" s="974" t="n">
        <v>0</v>
      </c>
      <c r="C12" s="361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RC241</t>
        </is>
      </c>
      <c r="B13" s="974" t="n">
        <v>0.2</v>
      </c>
      <c r="C13" s="362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RC242</t>
        </is>
      </c>
      <c r="B14" s="974" t="n">
        <v>0.5</v>
      </c>
      <c r="C14" s="334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RC243</t>
        </is>
      </c>
      <c r="B15" s="971" t="n">
        <v>0.75</v>
      </c>
      <c r="C15" s="340" t="n"/>
      <c r="D15" s="340" t="n"/>
      <c r="E15" s="340" t="n"/>
      <c r="F15" s="340" t="n"/>
      <c r="G15" s="340" t="n"/>
      <c r="H15" s="340" t="n"/>
      <c r="I15" s="340">
        <f>H15+G15+F15+E15+D15+C15</f>
        <v/>
      </c>
      <c r="J15" s="340">
        <f>I15*B15</f>
        <v/>
      </c>
    </row>
    <row r="16" ht="17.5" customHeight="1" s="885">
      <c r="A16" s="869" t="inlineStr">
        <is>
          <t>RC244</t>
        </is>
      </c>
      <c r="B16" s="971" t="n">
        <v>1</v>
      </c>
      <c r="C16" s="340" t="n"/>
      <c r="D16" s="340" t="n"/>
      <c r="E16" s="340" t="n"/>
      <c r="F16" s="340" t="n"/>
      <c r="G16" s="340" t="n"/>
      <c r="H16" s="340" t="n"/>
      <c r="I16" s="340">
        <f>H16+G16+F16+E16+D16+C16</f>
        <v/>
      </c>
      <c r="J16" s="340">
        <f>I16*B16</f>
        <v/>
      </c>
    </row>
    <row r="17" ht="17.5" customHeight="1" s="885">
      <c r="A17" s="869" t="inlineStr">
        <is>
          <t>RC245</t>
        </is>
      </c>
      <c r="B17" s="971" t="n">
        <v>1.5</v>
      </c>
      <c r="C17" s="340" t="n"/>
      <c r="D17" s="340" t="n"/>
      <c r="E17" s="340" t="n"/>
      <c r="F17" s="340" t="n"/>
      <c r="G17" s="340" t="n"/>
      <c r="H17" s="340" t="n"/>
      <c r="I17" s="340">
        <f>H17+G17+F17+E17+D17+C17</f>
        <v/>
      </c>
      <c r="J17" s="340">
        <f>I17*B17</f>
        <v/>
      </c>
    </row>
    <row r="18" ht="18" customFormat="1" customHeight="1" s="315">
      <c r="A18" s="869" t="inlineStr">
        <is>
          <t>RC246</t>
        </is>
      </c>
      <c r="B18" s="328" t="inlineStr">
        <is>
          <t>Total</t>
        </is>
      </c>
      <c r="C18" s="340">
        <f>C12+C13+C14+C15+C16+C17</f>
        <v/>
      </c>
      <c r="D18" s="340">
        <f>D12+D13+D14+D15+D16+D17</f>
        <v/>
      </c>
      <c r="E18" s="340">
        <f>E12+E13+E14+E15+E16+E17</f>
        <v/>
      </c>
      <c r="F18" s="340">
        <f>F12+F13+F14+F15+F16+F17</f>
        <v/>
      </c>
      <c r="G18" s="340">
        <f>G12+G13+G14+G15+G16+G17</f>
        <v/>
      </c>
      <c r="H18" s="340">
        <f>H12+H13+H14+H15+H16+H17</f>
        <v/>
      </c>
      <c r="I18" s="340">
        <f>I12+I13+I14+I15+I16+I17</f>
        <v/>
      </c>
      <c r="J18" s="340">
        <f>J12+J13+J14+J15+J16+J17</f>
        <v/>
      </c>
    </row>
    <row r="19" ht="9" customHeight="1" s="885">
      <c r="A19" s="773" t="n"/>
      <c r="B19" s="928" t="n"/>
      <c r="C19" s="928" t="n"/>
      <c r="D19" s="928" t="n"/>
      <c r="E19" s="928" t="n"/>
      <c r="F19" s="928" t="n"/>
      <c r="G19" s="928" t="n"/>
      <c r="H19" s="928" t="n"/>
      <c r="I19" s="928" t="n"/>
      <c r="J19" s="929" t="n"/>
    </row>
    <row r="20" ht="18" customHeight="1" s="885">
      <c r="A20" s="330" t="n"/>
      <c r="B20" s="137" t="inlineStr">
        <is>
          <t>Engagements de financement (hors bilan)</t>
        </is>
      </c>
      <c r="C20" s="784" t="n"/>
      <c r="D20" s="784" t="n"/>
      <c r="E20" s="784" t="n"/>
      <c r="F20" s="784" t="n"/>
      <c r="G20" s="784" t="n"/>
      <c r="H20" s="784" t="n"/>
      <c r="I20" s="784" t="n"/>
      <c r="J20" s="331" t="n"/>
    </row>
    <row r="21" ht="17.5" customHeight="1" s="885">
      <c r="A21" s="869" t="inlineStr">
        <is>
          <t>RC247</t>
        </is>
      </c>
      <c r="B21" s="974" t="n">
        <v>0</v>
      </c>
      <c r="C21" s="361" t="n"/>
      <c r="D21" s="340" t="n"/>
      <c r="E21" s="340" t="n"/>
      <c r="F21" s="340" t="n"/>
      <c r="G21" s="340" t="n"/>
      <c r="H21" s="340" t="n"/>
      <c r="I21" s="340" t="n"/>
      <c r="J21" s="792" t="n"/>
    </row>
    <row r="22" ht="17.5" customHeight="1" s="885">
      <c r="A22" s="869" t="inlineStr">
        <is>
          <t>RC248</t>
        </is>
      </c>
      <c r="B22" s="974" t="n">
        <v>0.2</v>
      </c>
      <c r="C22" s="362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RC249</t>
        </is>
      </c>
      <c r="B23" s="974" t="n">
        <v>0.5</v>
      </c>
      <c r="C23" s="334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RC250</t>
        </is>
      </c>
      <c r="B24" s="971" t="n">
        <v>0.75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7.5" customHeight="1" s="885">
      <c r="A25" s="869" t="inlineStr">
        <is>
          <t>RC251</t>
        </is>
      </c>
      <c r="B25" s="971" t="n">
        <v>1</v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17.5" customHeight="1" s="885">
      <c r="A26" s="869" t="inlineStr">
        <is>
          <t>RC252</t>
        </is>
      </c>
      <c r="B26" s="971" t="n">
        <v>1.5</v>
      </c>
      <c r="C26" s="340" t="n"/>
      <c r="D26" s="340" t="n"/>
      <c r="E26" s="340" t="n"/>
      <c r="F26" s="340" t="n"/>
      <c r="G26" s="340" t="n"/>
      <c r="H26" s="340" t="n"/>
      <c r="I26" s="340" t="n"/>
      <c r="J26" s="340" t="n"/>
    </row>
    <row r="27" ht="18" customFormat="1" customHeight="1" s="315">
      <c r="A27" s="869" t="inlineStr">
        <is>
          <t>RC253</t>
        </is>
      </c>
      <c r="B27" s="328" t="inlineStr">
        <is>
          <t>Total</t>
        </is>
      </c>
      <c r="C27" s="340" t="n"/>
      <c r="D27" s="340" t="n"/>
      <c r="E27" s="340" t="n"/>
      <c r="F27" s="340" t="n"/>
      <c r="G27" s="340" t="n"/>
      <c r="H27" s="340" t="n"/>
      <c r="I27" s="340" t="n"/>
      <c r="J27" s="340" t="n"/>
    </row>
    <row r="28" ht="9" customHeight="1" s="885">
      <c r="A28" s="773" t="n"/>
      <c r="B28" s="928" t="n"/>
      <c r="C28" s="928" t="n"/>
      <c r="D28" s="928" t="n"/>
      <c r="E28" s="928" t="n"/>
      <c r="F28" s="928" t="n"/>
      <c r="G28" s="928" t="n"/>
      <c r="H28" s="928" t="n"/>
      <c r="I28" s="928" t="n"/>
      <c r="J28" s="929" t="n"/>
    </row>
    <row r="29" ht="18" customHeight="1" s="885">
      <c r="A29" s="330" t="n"/>
      <c r="B29" s="137" t="inlineStr">
        <is>
          <t>Autres engagements de hors-bilan</t>
        </is>
      </c>
      <c r="C29" s="784" t="n"/>
      <c r="D29" s="784" t="n"/>
      <c r="E29" s="784" t="n"/>
      <c r="F29" s="784" t="n"/>
      <c r="G29" s="784" t="n"/>
      <c r="H29" s="784" t="n"/>
      <c r="I29" s="784" t="n"/>
      <c r="J29" s="331" t="n"/>
    </row>
    <row r="30" ht="17.5" customHeight="1" s="885">
      <c r="A30" s="869" t="inlineStr">
        <is>
          <t>RC254</t>
        </is>
      </c>
      <c r="B30" s="974" t="n">
        <v>0</v>
      </c>
      <c r="C30" s="361" t="n"/>
      <c r="D30" s="340" t="n"/>
      <c r="E30" s="340" t="n"/>
      <c r="F30" s="340" t="n"/>
      <c r="G30" s="340" t="n"/>
      <c r="H30" s="340" t="n"/>
      <c r="I30" s="340" t="n"/>
      <c r="J30" s="792" t="n"/>
    </row>
    <row r="31" ht="17.5" customHeight="1" s="885">
      <c r="A31" s="869" t="inlineStr">
        <is>
          <t>RC255</t>
        </is>
      </c>
      <c r="B31" s="974" t="n">
        <v>0.2</v>
      </c>
      <c r="C31" s="362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RC256</t>
        </is>
      </c>
      <c r="B32" s="974" t="n">
        <v>0.5</v>
      </c>
      <c r="C32" s="334" t="n"/>
      <c r="D32" s="340" t="n"/>
      <c r="E32" s="340" t="n"/>
      <c r="F32" s="340" t="n"/>
      <c r="G32" s="340" t="n"/>
      <c r="H32" s="340" t="n"/>
      <c r="I32" s="340" t="n"/>
      <c r="J32" s="340" t="n"/>
    </row>
    <row r="33" ht="17.5" customHeight="1" s="885">
      <c r="A33" s="869" t="inlineStr">
        <is>
          <t>RC257</t>
        </is>
      </c>
      <c r="B33" s="971" t="n">
        <v>0.75</v>
      </c>
      <c r="C33" s="340">
        <f>'EP10'!N42</f>
        <v/>
      </c>
      <c r="D33" s="340" t="n"/>
      <c r="E33" s="340" t="n"/>
      <c r="F33" s="340" t="n"/>
      <c r="G33" s="340" t="n"/>
      <c r="H33" s="340" t="n"/>
      <c r="I33" s="340">
        <f>H33+G33+F33+E33+D33+C33</f>
        <v/>
      </c>
      <c r="J33" s="340">
        <f>I33*B33</f>
        <v/>
      </c>
    </row>
    <row r="34" ht="17.5" customHeight="1" s="885">
      <c r="A34" s="869" t="inlineStr">
        <is>
          <t>RC258</t>
        </is>
      </c>
      <c r="B34" s="971" t="n">
        <v>1</v>
      </c>
      <c r="C34" s="340" t="n"/>
      <c r="D34" s="340" t="n"/>
      <c r="E34" s="340" t="n"/>
      <c r="F34" s="340" t="n"/>
      <c r="G34" s="340" t="n"/>
      <c r="H34" s="340" t="n"/>
      <c r="I34" s="340">
        <f>H34+G34+F34+E34+D34+C34</f>
        <v/>
      </c>
      <c r="J34" s="340">
        <f>I34*B34</f>
        <v/>
      </c>
    </row>
    <row r="35" ht="17.5" customHeight="1" s="885">
      <c r="A35" s="869" t="inlineStr">
        <is>
          <t>RC259</t>
        </is>
      </c>
      <c r="B35" s="971" t="n">
        <v>1.5</v>
      </c>
      <c r="C35" s="340" t="n"/>
      <c r="D35" s="340" t="n"/>
      <c r="E35" s="340" t="n"/>
      <c r="F35" s="340" t="n"/>
      <c r="G35" s="340" t="n"/>
      <c r="H35" s="340" t="n"/>
      <c r="I35" s="340">
        <f>H35+G35+F35+E35+D35+C35</f>
        <v/>
      </c>
      <c r="J35" s="340">
        <f>I35*B35</f>
        <v/>
      </c>
    </row>
    <row r="36" ht="18" customFormat="1" customHeight="1" s="315">
      <c r="A36" s="869" t="inlineStr">
        <is>
          <t>RC260</t>
        </is>
      </c>
      <c r="B36" s="328" t="inlineStr">
        <is>
          <t>Total</t>
        </is>
      </c>
      <c r="C36" s="340">
        <f>C30+C31+C32+C33+C34+C35</f>
        <v/>
      </c>
      <c r="D36" s="340">
        <f>D30+D31+D32+D33+D34+D35</f>
        <v/>
      </c>
      <c r="E36" s="340">
        <f>E30+E31+E32+E33+E34+E35</f>
        <v/>
      </c>
      <c r="F36" s="340">
        <f>F30+F31+F32+F33+F34+F35</f>
        <v/>
      </c>
      <c r="G36" s="340">
        <f>G30+G31+G32+G33+G34+G35</f>
        <v/>
      </c>
      <c r="H36" s="340">
        <f>H30+H31+H32+H33+H34+H35</f>
        <v/>
      </c>
      <c r="I36" s="340">
        <f>I30+I31+I32+I33+I34+I35</f>
        <v/>
      </c>
      <c r="J36" s="340">
        <f>J30+J31+J32+J33+J34+J35</f>
        <v/>
      </c>
    </row>
    <row r="37" ht="9" customHeight="1" s="885">
      <c r="A37" s="769" t="n"/>
      <c r="B37" s="886" t="n"/>
      <c r="C37" s="886" t="n"/>
      <c r="D37" s="886" t="n"/>
      <c r="E37" s="886" t="n"/>
      <c r="F37" s="886" t="n"/>
      <c r="G37" s="886" t="n"/>
      <c r="H37" s="886" t="n"/>
      <c r="I37" s="886" t="n"/>
      <c r="J37" s="957" t="n"/>
    </row>
    <row r="38" ht="18" customFormat="1" customHeight="1" s="315">
      <c r="A38" s="237" t="inlineStr">
        <is>
          <t>RC261</t>
        </is>
      </c>
      <c r="B38" s="336" t="inlineStr">
        <is>
          <t>TOTAL EXPOSITIONS SUR LES PG/IC</t>
        </is>
      </c>
      <c r="C38" s="340">
        <f>C18+C27+C36</f>
        <v/>
      </c>
      <c r="D38" s="340">
        <f>D18+D27+D36</f>
        <v/>
      </c>
      <c r="E38" s="340">
        <f>E18+E27+E36</f>
        <v/>
      </c>
      <c r="F38" s="340">
        <f>F18+F27+F36</f>
        <v/>
      </c>
      <c r="G38" s="340">
        <f>G18+G27+G36</f>
        <v/>
      </c>
      <c r="H38" s="340">
        <f>H18+H27+H36</f>
        <v/>
      </c>
      <c r="I38" s="340">
        <f>I18+I27+I36</f>
        <v/>
      </c>
      <c r="J38" s="340">
        <f>J18+J27+J36</f>
        <v/>
      </c>
    </row>
    <row r="39" ht="9" customHeight="1" s="885">
      <c r="B39" s="770" t="n"/>
      <c r="C39" s="886" t="n"/>
      <c r="D39" s="886" t="n"/>
      <c r="E39" s="886" t="n"/>
      <c r="F39" s="886" t="n"/>
      <c r="G39" s="886" t="n"/>
      <c r="H39" s="886" t="n"/>
      <c r="I39" s="886" t="n"/>
      <c r="J39" s="886" t="n"/>
    </row>
    <row r="40" ht="9" customHeight="1" s="885">
      <c r="J40" s="770" t="n"/>
    </row>
    <row r="41" ht="9" customHeight="1" s="885">
      <c r="J41" s="770" t="n"/>
    </row>
    <row r="42" ht="9" customHeight="1" s="885">
      <c r="J42" s="770" t="n"/>
    </row>
    <row r="43" ht="9" customHeight="1" s="885">
      <c r="J43" s="770" t="n"/>
    </row>
    <row r="44" ht="9" customHeight="1" s="885">
      <c r="J44" s="770" t="n"/>
    </row>
    <row r="45" ht="9" customHeight="1" s="885">
      <c r="J45" s="770" t="n"/>
    </row>
    <row r="46" ht="9" customHeight="1" s="885">
      <c r="J46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ojzdMltkXTJkrTOF8LTVg==" formatRows="1" sort="1" spinCount="100000" hashValue="/clAgPF929hIGTZl3aFq+0hM28VcoPgDlsaxiVCJRIsssfs+qIS8eWvorVe9tVayrErfSAeF2B7648WcQnXTzQ=="/>
  <mergeCells count="11">
    <mergeCell ref="B11:J11"/>
    <mergeCell ref="A37:J37"/>
    <mergeCell ref="A8:A9"/>
    <mergeCell ref="J8:J9"/>
    <mergeCell ref="B39:J39"/>
    <mergeCell ref="B8:B9"/>
    <mergeCell ref="G8:H8"/>
    <mergeCell ref="D8:F8"/>
    <mergeCell ref="B1:I1"/>
    <mergeCell ref="A28:J28"/>
    <mergeCell ref="A19:J19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K36"/>
  <sheetViews>
    <sheetView view="pageBreakPreview" zoomScale="50" zoomScaleNormal="70" zoomScalePageLayoutView="50" workbookViewId="0">
      <selection activeCell="I23" sqref="I23"/>
    </sheetView>
  </sheetViews>
  <sheetFormatPr baseColWidth="10" defaultColWidth="10" defaultRowHeight="15" customHeight="1"/>
  <cols>
    <col collapsed="1" width="11.08984375" customWidth="1" style="365" min="1" max="1"/>
    <col collapsed="1" width="132" customWidth="1" style="257" min="2" max="2"/>
    <col collapsed="1" width="21.81640625" customWidth="1" style="243" min="3" max="5"/>
    <col collapsed="1" width="10" customWidth="1" style="243" min="6" max="16384"/>
  </cols>
  <sheetData>
    <row r="1" ht="29.25" customHeight="1" s="885">
      <c r="A1" s="790" t="inlineStr">
        <is>
          <t>RISQUE DE CREDIT : EXPOSITIONS SUR LES AUTRES ACTIFS</t>
        </is>
      </c>
      <c r="B1" s="886" t="n"/>
      <c r="C1" s="886" t="n"/>
      <c r="D1" s="886" t="n"/>
      <c r="E1" s="977" t="inlineStr">
        <is>
          <t>EP 20</t>
        </is>
      </c>
      <c r="F1" s="367" t="n"/>
      <c r="G1" s="367" t="n"/>
      <c r="H1" s="367" t="n"/>
      <c r="J1" s="978" t="n"/>
      <c r="K1" s="978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5.5" customHeight="1" s="885">
      <c r="B7" s="369" t="n"/>
      <c r="C7" s="370" t="n"/>
      <c r="D7" s="370" t="n"/>
      <c r="E7" s="370" t="n"/>
      <c r="F7" s="370" t="n"/>
      <c r="G7" s="370" t="n"/>
      <c r="H7" s="370" t="n"/>
      <c r="I7" s="370" t="n"/>
      <c r="J7" s="370" t="n"/>
      <c r="K7" s="370" t="n"/>
    </row>
    <row r="8" ht="31" customFormat="1" customHeight="1" s="256">
      <c r="A8" s="371" t="inlineStr">
        <is>
          <t>Code DISPRU</t>
        </is>
      </c>
      <c r="B8" s="372" t="inlineStr">
        <is>
          <t>Poste</t>
        </is>
      </c>
      <c r="C8" s="255" t="inlineStr">
        <is>
          <t>Exposition nette</t>
        </is>
      </c>
      <c r="D8" s="373" t="inlineStr">
        <is>
          <t>Coefficient de pondération</t>
        </is>
      </c>
      <c r="E8" s="373" t="inlineStr">
        <is>
          <t>Actifs pondérés des risques</t>
        </is>
      </c>
    </row>
    <row r="9" ht="15.5" customFormat="1" customHeight="1" s="259">
      <c r="A9" s="791" t="n"/>
      <c r="B9" s="895" t="n"/>
      <c r="C9" s="255" t="inlineStr">
        <is>
          <t>(a)</t>
        </is>
      </c>
      <c r="D9" s="374" t="inlineStr">
        <is>
          <t>(b)</t>
        </is>
      </c>
      <c r="E9" s="255" t="inlineStr">
        <is>
          <t>(c )= a x b</t>
        </is>
      </c>
    </row>
    <row r="10" ht="33" customFormat="1" customHeight="1" s="378">
      <c r="A10" s="237" t="inlineStr">
        <is>
          <t>RC262</t>
        </is>
      </c>
      <c r="B10" s="375" t="inlineStr">
        <is>
          <t>Caisse</t>
        </is>
      </c>
      <c r="C10" s="376" t="n"/>
      <c r="D10" s="979" t="n">
        <v>0</v>
      </c>
      <c r="E10" s="376">
        <f>C10*D10</f>
        <v/>
      </c>
    </row>
    <row r="11" ht="33" customFormat="1" customHeight="1" s="378">
      <c r="A11" s="237" t="inlineStr">
        <is>
          <t>RC263</t>
        </is>
      </c>
      <c r="B11" s="375" t="inlineStr">
        <is>
          <t>Lingot d'or</t>
        </is>
      </c>
      <c r="C11" s="376" t="n"/>
      <c r="D11" s="979" t="n">
        <v>0</v>
      </c>
      <c r="E11" s="376">
        <f>C11*D11</f>
        <v/>
      </c>
    </row>
    <row r="12" ht="33" customFormat="1" customHeight="1" s="378">
      <c r="A12" s="237" t="inlineStr">
        <is>
          <t>RC264</t>
        </is>
      </c>
      <c r="B12" s="375" t="inlineStr">
        <is>
          <t xml:space="preserve">Valeurs à l'encaissement avec crédit immédiat, chèques et autres effets en transit (liquidité en cours de recouvrement)
</t>
        </is>
      </c>
      <c r="C12" s="376" t="n"/>
      <c r="D12" s="979" t="n">
        <v>0.2</v>
      </c>
      <c r="E12" s="376">
        <f>C12*D12</f>
        <v/>
      </c>
    </row>
    <row r="13" ht="33" customFormat="1" customHeight="1" s="378">
      <c r="A13" s="237" t="inlineStr">
        <is>
          <t>PA166</t>
        </is>
      </c>
      <c r="B13" s="375" t="inlineStr">
        <is>
          <t>Participations non significatives non déduites des fonds propres</t>
        </is>
      </c>
      <c r="C13" s="376" t="n"/>
      <c r="D13" s="979" t="n">
        <v>1</v>
      </c>
      <c r="E13" s="376">
        <f>C13*D13</f>
        <v/>
      </c>
    </row>
    <row r="14" ht="33" customFormat="1" customHeight="1" s="378">
      <c r="A14" s="237" t="inlineStr">
        <is>
          <t>RC265</t>
        </is>
      </c>
      <c r="B14" s="375" t="inlineStr">
        <is>
          <t>Immobilisations corporelles nettes d'amortissement</t>
        </is>
      </c>
      <c r="C14" s="376" t="n"/>
      <c r="D14" s="979" t="n">
        <v>1</v>
      </c>
      <c r="E14" s="376">
        <f>C14*D14</f>
        <v/>
      </c>
    </row>
    <row r="15" ht="33" customFormat="1" customHeight="1" s="378">
      <c r="A15" s="237" t="inlineStr">
        <is>
          <t>RC266</t>
        </is>
      </c>
      <c r="B15" s="743" t="inlineStr">
        <is>
          <t>Comptes d'ordre et divers</t>
        </is>
      </c>
      <c r="C15" s="376">
        <f>-2960+31</f>
        <v/>
      </c>
      <c r="D15" s="979" t="n">
        <v>1</v>
      </c>
      <c r="E15" s="376">
        <f>C15*D15</f>
        <v/>
      </c>
    </row>
    <row r="16" ht="33" customFormat="1" customHeight="1" s="378">
      <c r="A16" s="237" t="inlineStr">
        <is>
          <t>RC267</t>
        </is>
      </c>
      <c r="B16" s="743" t="inlineStr">
        <is>
          <t>Dépôts et cautionnements</t>
        </is>
      </c>
      <c r="C16" s="376" t="n"/>
      <c r="D16" s="979" t="n">
        <v>1</v>
      </c>
      <c r="E16" s="376">
        <f>C16*D16</f>
        <v/>
      </c>
    </row>
    <row r="17" ht="33" customFormat="1" customHeight="1" s="378">
      <c r="A17" s="237" t="inlineStr">
        <is>
          <t>RC268</t>
        </is>
      </c>
      <c r="B17" s="743" t="inlineStr">
        <is>
          <t>Débiteurs divers</t>
        </is>
      </c>
      <c r="C17" s="376" t="n"/>
      <c r="D17" s="979" t="n">
        <v>1</v>
      </c>
      <c r="E17" s="376">
        <f>C17*D17</f>
        <v/>
      </c>
    </row>
    <row r="18" ht="33" customFormat="1" customHeight="1" s="378">
      <c r="A18" s="237" t="inlineStr">
        <is>
          <t>RC269</t>
        </is>
      </c>
      <c r="B18" s="743" t="inlineStr">
        <is>
          <t>Part dans les fonds communs de placement</t>
        </is>
      </c>
      <c r="C18" s="376" t="n"/>
      <c r="D18" s="979" t="n">
        <v>1</v>
      </c>
      <c r="E18" s="376">
        <f>C18*D18</f>
        <v/>
      </c>
    </row>
    <row r="19" ht="33" customFormat="1" customHeight="1" s="378">
      <c r="A19" s="237" t="inlineStr">
        <is>
          <t>RC270</t>
        </is>
      </c>
      <c r="B19" s="743" t="inlineStr">
        <is>
          <t>Comptes de stock</t>
        </is>
      </c>
      <c r="C19" s="376" t="n"/>
      <c r="D19" s="979" t="n">
        <v>1</v>
      </c>
      <c r="E19" s="376">
        <f>C19*D19</f>
        <v/>
      </c>
    </row>
    <row r="20" ht="33" customFormat="1" customHeight="1" s="378">
      <c r="A20" s="237" t="inlineStr">
        <is>
          <t>RC271</t>
        </is>
      </c>
      <c r="B20" s="743" t="inlineStr">
        <is>
          <t>Actions</t>
        </is>
      </c>
      <c r="C20" s="376" t="n"/>
      <c r="D20" s="979" t="n">
        <v>1</v>
      </c>
      <c r="E20" s="376">
        <f>C20*D20</f>
        <v/>
      </c>
    </row>
    <row r="21" ht="33" customFormat="1" customHeight="1" s="378">
      <c r="A21" s="237" t="inlineStr">
        <is>
          <t>RC272</t>
        </is>
      </c>
      <c r="B21" s="379" t="inlineStr">
        <is>
          <t>Expositions des entreprises à caractère financier hors UMOA incluses dans le périmètre de consolidation prudentielle</t>
        </is>
      </c>
      <c r="C21" s="376" t="n"/>
      <c r="D21" s="979" t="n">
        <v>1</v>
      </c>
      <c r="E21" s="376">
        <f>C21*D21</f>
        <v/>
      </c>
    </row>
    <row r="22" ht="33" customFormat="1" customHeight="1" s="378">
      <c r="A22" s="237" t="inlineStr">
        <is>
          <t>RC273</t>
        </is>
      </c>
      <c r="B22" s="379" t="inlineStr">
        <is>
          <t>Expositions sur des entreprises soumises à une procédure de traitement prudentiel</t>
        </is>
      </c>
      <c r="C22" s="376" t="n"/>
      <c r="D22" s="979" t="n">
        <v>1.5</v>
      </c>
      <c r="E22" s="376">
        <f>C22*D22</f>
        <v/>
      </c>
    </row>
    <row r="23" ht="33" customFormat="1" customHeight="1" s="378">
      <c r="A23" s="237" t="inlineStr">
        <is>
          <t>PA176</t>
        </is>
      </c>
      <c r="B23" s="375" t="inlineStr">
        <is>
          <t>Participations significatives non déduites des fonds propres</t>
        </is>
      </c>
      <c r="C23" s="376" t="n"/>
      <c r="D23" s="979" t="n">
        <v>2.5</v>
      </c>
      <c r="E23" s="376">
        <f>C23*D23</f>
        <v/>
      </c>
    </row>
    <row r="24" ht="33" customFormat="1" customHeight="1" s="378">
      <c r="A24" s="237" t="inlineStr">
        <is>
          <t>ID012</t>
        </is>
      </c>
      <c r="B24" s="375" t="inlineStr">
        <is>
          <t>Impôts différés actifs découlant de différences temporaires non déduites des fonds propres</t>
        </is>
      </c>
      <c r="C24" s="376" t="n"/>
      <c r="D24" s="979" t="n">
        <v>2.5</v>
      </c>
      <c r="E24" s="376">
        <f>C24*D24</f>
        <v/>
      </c>
    </row>
    <row r="25" ht="33" customFormat="1" customHeight="1" s="378">
      <c r="A25" s="237" t="inlineStr">
        <is>
          <t>RC274</t>
        </is>
      </c>
      <c r="B25" s="379" t="inlineStr">
        <is>
          <t>Expositions sur les établissements qui ne respectent pas les ratios de solvabilité</t>
        </is>
      </c>
      <c r="C25" s="376" t="n"/>
      <c r="D25" s="979" t="n">
        <v>2.5</v>
      </c>
      <c r="E25" s="376">
        <f>C25*D25</f>
        <v/>
      </c>
    </row>
    <row r="26" ht="33" customHeight="1" s="885">
      <c r="A26" s="237" t="inlineStr">
        <is>
          <t>RC275</t>
        </is>
      </c>
      <c r="B26" s="380" t="inlineStr">
        <is>
          <t>Autres éléments d'actif non pris en compte</t>
        </is>
      </c>
      <c r="C26" s="376">
        <f>-22157+19802</f>
        <v/>
      </c>
      <c r="D26" s="980" t="n">
        <v>1</v>
      </c>
      <c r="E26" s="376">
        <f>C26*D26</f>
        <v/>
      </c>
    </row>
    <row r="27" ht="33" customFormat="1" customHeight="1" s="256">
      <c r="A27" s="237" t="inlineStr">
        <is>
          <t>RC276</t>
        </is>
      </c>
      <c r="B27" s="382" t="inlineStr">
        <is>
          <t>TOTAL EXPOSITIONS SUR LES AUTRES ACTIFS</t>
        </is>
      </c>
      <c r="C27" s="383">
        <f>C10+C11+C12+C13+C14+C15+C16+C17+C18+C19+C20+C21+C22+C23+C24+C25+C26</f>
        <v/>
      </c>
      <c r="D27" s="879" t="n"/>
      <c r="E27" s="385">
        <f>E10+E11+E12+E13+E14+E15+E16+E17+E18+E19+E20+E21+E22+E23+E24+E25+E26</f>
        <v/>
      </c>
    </row>
    <row r="28" ht="15.5" customHeight="1" s="885">
      <c r="B28" s="386" t="n"/>
    </row>
    <row r="29" ht="15.5" customHeight="1" s="885">
      <c r="B29" s="386" t="n"/>
    </row>
    <row r="30" ht="15.5" customHeight="1" s="885">
      <c r="B30" s="386" t="n"/>
    </row>
    <row r="31" ht="15.5" customHeight="1" s="885">
      <c r="B31" s="386" t="n"/>
    </row>
    <row r="32" ht="15.5" customHeight="1" s="885">
      <c r="B32" s="386" t="n"/>
    </row>
    <row r="33" ht="15.5" customHeight="1" s="885">
      <c r="B33" s="386" t="n"/>
    </row>
    <row r="34" ht="15.5" customHeight="1" s="885">
      <c r="B34" s="386" t="n"/>
    </row>
    <row r="35" ht="15.5" customHeight="1" s="885">
      <c r="B35" s="386" t="n"/>
    </row>
    <row r="36" ht="15.5" customHeight="1" s="885">
      <c r="B36" s="3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Da2bLrs3+wiau2rOAsEYg==" formatRows="1" sort="1" spinCount="100000" hashValue="gGSBwWyEYXxbbvI4fuBE0q7QIdUHeLlvNpwhumZhi4+gC8MuHwJMrcMsQhHTIhw4wcG/q8c1oGCnPzgbtb84JA=="/>
  <mergeCells count="2">
    <mergeCell ref="A9:B9"/>
    <mergeCell ref="A1:D1"/>
  </mergeCells>
  <pageMargins left="0.708333333333333" right="0.708333333333333" top="0.747916666666667" bottom="0.747916666666667" header="0.511811023622047" footer="0.315277777777778"/>
  <pageSetup orientation="landscape" paperSize="9" scale="56" horizontalDpi="300" verticalDpi="300"/>
  <headerFooter>
    <oddHeader/>
    <oddFooter>&amp;R&amp;P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K26"/>
  <sheetViews>
    <sheetView view="pageBreakPreview" topLeftCell="A8" zoomScale="60" zoomScaleNormal="70" workbookViewId="0">
      <selection activeCell="A26" sqref="A26"/>
    </sheetView>
  </sheetViews>
  <sheetFormatPr baseColWidth="10" defaultColWidth="10" defaultRowHeight="9" customHeight="1"/>
  <cols>
    <col collapsed="1" width="11.08984375" customWidth="1" style="770" min="1" max="1"/>
    <col collapsed="1" width="65.26953125" customWidth="1" style="770" min="2" max="2"/>
    <col collapsed="1" width="21.54296875" customWidth="1" style="770" min="3" max="5"/>
    <col collapsed="1" width="31.54296875" customWidth="1" style="770" min="6" max="6"/>
    <col collapsed="1" width="17.36328125" customWidth="1" style="770" min="7" max="9"/>
    <col collapsed="1" width="10" customWidth="1" style="770" min="10" max="16384"/>
  </cols>
  <sheetData>
    <row r="1" ht="29.25" customHeight="1" s="885">
      <c r="A1" s="767" t="inlineStr">
        <is>
          <t>RISQUE OPERATIONNEL :  EXIGENCES DE FONDS PROPRES AU TITRE DE L'APPROCHE INDICATEUR DE BASE</t>
        </is>
      </c>
      <c r="B1" s="886" t="n"/>
      <c r="C1" s="886" t="n"/>
      <c r="D1" s="886" t="n"/>
      <c r="E1" s="886" t="n"/>
      <c r="F1" s="886" t="n"/>
      <c r="G1" s="886" t="n"/>
      <c r="H1" s="964" t="inlineStr">
        <is>
          <t>EP21</t>
        </is>
      </c>
      <c r="I1" s="967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</row>
    <row r="8" ht="18" customFormat="1" customHeight="1" s="315">
      <c r="A8" s="315" t="inlineStr">
        <is>
          <t>A. Calcul du produit brut</t>
        </is>
      </c>
      <c r="B8" s="387" t="n"/>
      <c r="C8" s="387" t="n"/>
      <c r="D8" s="387" t="n"/>
      <c r="E8" s="387" t="n"/>
      <c r="F8" s="387" t="n"/>
      <c r="G8" s="387" t="n"/>
      <c r="H8" s="387" t="n"/>
      <c r="I8" s="387" t="n"/>
    </row>
    <row r="9" ht="6.75" customHeight="1" s="885">
      <c r="B9" s="302" t="n"/>
      <c r="C9" s="302" t="n"/>
      <c r="D9" s="302" t="n"/>
      <c r="E9" s="302" t="n"/>
      <c r="F9" s="302" t="n"/>
      <c r="G9" s="302" t="n"/>
      <c r="H9" s="302" t="n"/>
      <c r="I9" s="302" t="n"/>
    </row>
    <row r="10" ht="36" customHeight="1" s="885">
      <c r="A10" s="112" t="inlineStr">
        <is>
          <t>Code DISPRU</t>
        </is>
      </c>
      <c r="B10" s="797" t="inlineStr">
        <is>
          <t>Poste</t>
        </is>
      </c>
      <c r="C10" s="895" t="n"/>
      <c r="D10" s="389" t="inlineStr">
        <is>
          <t>Montant</t>
        </is>
      </c>
      <c r="E10" s="317" t="n"/>
      <c r="F10" s="317" t="n"/>
      <c r="G10" s="317" t="n"/>
      <c r="H10" s="317" t="n"/>
      <c r="I10" s="317" t="n"/>
      <c r="J10" s="317" t="n"/>
      <c r="K10" s="317" t="n"/>
      <c r="L10" s="317" t="n"/>
      <c r="M10" s="317" t="n"/>
      <c r="N10" s="317" t="n"/>
      <c r="O10" s="317" t="n"/>
      <c r="P10" s="317" t="n"/>
      <c r="Q10" s="317" t="n"/>
      <c r="R10" s="317" t="n"/>
      <c r="S10" s="317" t="n"/>
      <c r="T10" s="317" t="n"/>
      <c r="U10" s="317" t="n"/>
      <c r="V10" s="317" t="n"/>
      <c r="W10" s="317" t="n"/>
      <c r="X10" s="317" t="n"/>
      <c r="Y10" s="317" t="n"/>
      <c r="Z10" s="317" t="n"/>
      <c r="AA10" s="317" t="n"/>
      <c r="AB10" s="317" t="n"/>
      <c r="AC10" s="317" t="n"/>
      <c r="AD10" s="317" t="n"/>
      <c r="AE10" s="317" t="n"/>
      <c r="AF10" s="317" t="n"/>
      <c r="AG10" s="317" t="n"/>
      <c r="AH10" s="317" t="n"/>
      <c r="AI10" s="317" t="n"/>
      <c r="AJ10" s="317" t="n"/>
      <c r="AK10" s="317" t="n"/>
      <c r="AL10" s="317" t="n"/>
      <c r="AM10" s="317" t="n"/>
      <c r="AN10" s="317" t="n"/>
      <c r="AO10" s="317" t="n"/>
      <c r="AP10" s="317" t="n"/>
      <c r="AQ10" s="317" t="n"/>
      <c r="AR10" s="317" t="n"/>
      <c r="AS10" s="317" t="n"/>
      <c r="AT10" s="317" t="n"/>
      <c r="AU10" s="317" t="n"/>
      <c r="AV10" s="317" t="n"/>
      <c r="AW10" s="317" t="n"/>
      <c r="AX10" s="317" t="n"/>
      <c r="AY10" s="317" t="n"/>
      <c r="AZ10" s="317" t="n"/>
      <c r="BA10" s="317" t="n"/>
      <c r="BB10" s="317" t="n"/>
      <c r="BC10" s="317" t="n"/>
      <c r="BD10" s="317" t="n"/>
      <c r="BE10" s="317" t="n"/>
      <c r="BF10" s="317" t="n"/>
      <c r="BG10" s="317" t="n"/>
      <c r="BH10" s="317" t="n"/>
      <c r="BI10" s="317" t="n"/>
      <c r="BJ10" s="317" t="n"/>
      <c r="BK10" s="317" t="n"/>
      <c r="BL10" s="317" t="n"/>
      <c r="BM10" s="317" t="n"/>
      <c r="BN10" s="317" t="n"/>
      <c r="BO10" s="317" t="n"/>
      <c r="BP10" s="317" t="n"/>
      <c r="BQ10" s="317" t="n"/>
      <c r="BR10" s="317" t="n"/>
      <c r="BS10" s="317" t="n"/>
      <c r="BT10" s="317" t="n"/>
      <c r="BU10" s="317" t="n"/>
      <c r="BV10" s="317" t="n"/>
      <c r="BW10" s="317" t="n"/>
      <c r="BX10" s="317" t="n"/>
      <c r="BY10" s="317" t="n"/>
      <c r="BZ10" s="317" t="n"/>
      <c r="CA10" s="317" t="n"/>
      <c r="CB10" s="317" t="n"/>
      <c r="CC10" s="317" t="n"/>
      <c r="CD10" s="317" t="n"/>
      <c r="CE10" s="317" t="n"/>
      <c r="CF10" s="317" t="n"/>
      <c r="CG10" s="317" t="n"/>
      <c r="CH10" s="317" t="n"/>
      <c r="CI10" s="317" t="n"/>
      <c r="CJ10" s="317" t="n"/>
      <c r="CK10" s="317" t="n"/>
      <c r="CL10" s="317" t="n"/>
      <c r="CM10" s="317" t="n"/>
      <c r="CN10" s="317" t="n"/>
      <c r="CO10" s="317" t="n"/>
      <c r="CP10" s="317" t="n"/>
      <c r="CQ10" s="317" t="n"/>
      <c r="CR10" s="317" t="n"/>
      <c r="CS10" s="317" t="n"/>
      <c r="CT10" s="317" t="n"/>
      <c r="CU10" s="317" t="n"/>
      <c r="CV10" s="317" t="n"/>
      <c r="CW10" s="317" t="n"/>
      <c r="CX10" s="317" t="n"/>
      <c r="CY10" s="317" t="n"/>
      <c r="CZ10" s="317" t="n"/>
      <c r="DA10" s="317" t="n"/>
      <c r="DB10" s="317" t="n"/>
      <c r="DC10" s="317" t="n"/>
      <c r="DD10" s="317" t="n"/>
      <c r="DE10" s="317" t="n"/>
      <c r="DF10" s="317" t="n"/>
      <c r="DG10" s="317" t="n"/>
      <c r="DH10" s="317" t="n"/>
      <c r="DI10" s="317" t="n"/>
      <c r="DJ10" s="317" t="n"/>
      <c r="DK10" s="317" t="n"/>
      <c r="DL10" s="317" t="n"/>
      <c r="DM10" s="317" t="n"/>
      <c r="DN10" s="317" t="n"/>
      <c r="DO10" s="317" t="n"/>
      <c r="DP10" s="317" t="n"/>
      <c r="DQ10" s="317" t="n"/>
      <c r="DR10" s="317" t="n"/>
      <c r="DS10" s="317" t="n"/>
      <c r="DT10" s="317" t="n"/>
      <c r="DU10" s="317" t="n"/>
      <c r="DV10" s="317" t="n"/>
      <c r="DW10" s="317" t="n"/>
      <c r="DX10" s="317" t="n"/>
      <c r="DY10" s="317" t="n"/>
      <c r="DZ10" s="317" t="n"/>
      <c r="EA10" s="317" t="n"/>
      <c r="EB10" s="317" t="n"/>
      <c r="EC10" s="317" t="n"/>
      <c r="ED10" s="317" t="n"/>
      <c r="EE10" s="317" t="n"/>
      <c r="EF10" s="317" t="n"/>
      <c r="EG10" s="317" t="n"/>
      <c r="EH10" s="317" t="n"/>
      <c r="EI10" s="317" t="n"/>
      <c r="EJ10" s="317" t="n"/>
      <c r="EK10" s="317" t="n"/>
      <c r="EL10" s="317" t="n"/>
      <c r="EM10" s="317" t="n"/>
      <c r="EN10" s="317" t="n"/>
      <c r="EO10" s="317" t="n"/>
      <c r="EP10" s="317" t="n"/>
      <c r="EQ10" s="317" t="n"/>
      <c r="ER10" s="317" t="n"/>
      <c r="ES10" s="317" t="n"/>
      <c r="ET10" s="317" t="n"/>
      <c r="EU10" s="317" t="n"/>
      <c r="EV10" s="317" t="n"/>
      <c r="EW10" s="317" t="n"/>
      <c r="EX10" s="317" t="n"/>
      <c r="EY10" s="317" t="n"/>
      <c r="EZ10" s="317" t="n"/>
      <c r="FA10" s="317" t="n"/>
      <c r="FB10" s="317" t="n"/>
      <c r="FC10" s="317" t="n"/>
      <c r="FD10" s="317" t="n"/>
      <c r="FE10" s="317" t="n"/>
      <c r="FF10" s="317" t="n"/>
      <c r="FG10" s="317" t="n"/>
      <c r="FH10" s="317" t="n"/>
      <c r="FI10" s="317" t="n"/>
      <c r="FJ10" s="317" t="n"/>
      <c r="FK10" s="317" t="n"/>
      <c r="FL10" s="317" t="n"/>
      <c r="FM10" s="317" t="n"/>
      <c r="FN10" s="317" t="n"/>
      <c r="FO10" s="317" t="n"/>
      <c r="FP10" s="317" t="n"/>
      <c r="FQ10" s="317" t="n"/>
      <c r="FR10" s="317" t="n"/>
      <c r="FS10" s="317" t="n"/>
      <c r="FT10" s="317" t="n"/>
      <c r="FU10" s="317" t="n"/>
      <c r="FV10" s="317" t="n"/>
      <c r="FW10" s="317" t="n"/>
      <c r="FX10" s="317" t="n"/>
      <c r="FY10" s="317" t="n"/>
      <c r="FZ10" s="317" t="n"/>
      <c r="GA10" s="317" t="n"/>
      <c r="GB10" s="317" t="n"/>
      <c r="GC10" s="317" t="n"/>
      <c r="GD10" s="317" t="n"/>
      <c r="GE10" s="317" t="n"/>
      <c r="GF10" s="317" t="n"/>
      <c r="GG10" s="317" t="n"/>
      <c r="GH10" s="317" t="n"/>
      <c r="GI10" s="317" t="n"/>
      <c r="GJ10" s="317" t="n"/>
      <c r="GK10" s="317" t="n"/>
      <c r="GL10" s="317" t="n"/>
      <c r="GM10" s="317" t="n"/>
      <c r="GN10" s="317" t="n"/>
      <c r="GO10" s="317" t="n"/>
      <c r="GP10" s="317" t="n"/>
      <c r="GQ10" s="317" t="n"/>
      <c r="GR10" s="317" t="n"/>
      <c r="GS10" s="317" t="n"/>
      <c r="GT10" s="317" t="n"/>
      <c r="GU10" s="317" t="n"/>
      <c r="GV10" s="317" t="n"/>
      <c r="GW10" s="317" t="n"/>
      <c r="GX10" s="317" t="n"/>
      <c r="GY10" s="317" t="n"/>
      <c r="GZ10" s="317" t="n"/>
      <c r="HA10" s="317" t="n"/>
      <c r="HB10" s="317" t="n"/>
      <c r="HC10" s="317" t="n"/>
      <c r="HD10" s="317" t="n"/>
      <c r="HE10" s="317" t="n"/>
      <c r="HF10" s="317" t="n"/>
      <c r="HG10" s="317" t="n"/>
      <c r="HH10" s="317" t="n"/>
      <c r="HI10" s="317" t="n"/>
      <c r="HJ10" s="317" t="n"/>
      <c r="HK10" s="317" t="n"/>
      <c r="HL10" s="317" t="n"/>
      <c r="HM10" s="317" t="n"/>
      <c r="HN10" s="317" t="n"/>
      <c r="HO10" s="317" t="n"/>
      <c r="HP10" s="317" t="n"/>
      <c r="HQ10" s="317" t="n"/>
      <c r="HR10" s="317" t="n"/>
      <c r="HS10" s="317" t="n"/>
      <c r="HT10" s="317" t="n"/>
      <c r="HU10" s="317" t="n"/>
      <c r="HV10" s="317" t="n"/>
      <c r="HW10" s="317" t="n"/>
      <c r="HX10" s="317" t="n"/>
      <c r="HY10" s="317" t="n"/>
      <c r="HZ10" s="317" t="n"/>
      <c r="IA10" s="317" t="n"/>
      <c r="IB10" s="317" t="n"/>
      <c r="IC10" s="317" t="n"/>
      <c r="ID10" s="317" t="n"/>
      <c r="IE10" s="317" t="n"/>
      <c r="IF10" s="317" t="n"/>
      <c r="IG10" s="317" t="n"/>
      <c r="IH10" s="317" t="n"/>
      <c r="II10" s="317" t="n"/>
      <c r="IJ10" s="317" t="n"/>
      <c r="IK10" s="317" t="n"/>
      <c r="IL10" s="317" t="n"/>
      <c r="IM10" s="317" t="n"/>
      <c r="IN10" s="317" t="n"/>
      <c r="IO10" s="317" t="n"/>
      <c r="IP10" s="317" t="n"/>
      <c r="IQ10" s="317" t="n"/>
      <c r="IR10" s="317" t="n"/>
      <c r="IS10" s="317" t="n"/>
      <c r="IT10" s="317" t="n"/>
      <c r="IU10" s="317" t="n"/>
      <c r="IV10" s="317" t="n"/>
      <c r="IW10" s="317" t="n"/>
      <c r="IX10" s="317" t="n"/>
      <c r="IY10" s="317" t="n"/>
      <c r="IZ10" s="317" t="n"/>
      <c r="JA10" s="317" t="n"/>
      <c r="JB10" s="317" t="n"/>
      <c r="JC10" s="317" t="n"/>
      <c r="JD10" s="317" t="n"/>
      <c r="JE10" s="317" t="n"/>
      <c r="JF10" s="317" t="n"/>
      <c r="JG10" s="317" t="n"/>
      <c r="JH10" s="317" t="n"/>
      <c r="JI10" s="317" t="n"/>
      <c r="JJ10" s="317" t="n"/>
      <c r="JK10" s="317" t="n"/>
      <c r="JL10" s="317" t="n"/>
      <c r="JM10" s="317" t="n"/>
      <c r="JN10" s="317" t="n"/>
      <c r="JO10" s="317" t="n"/>
      <c r="JP10" s="317" t="n"/>
      <c r="JQ10" s="317" t="n"/>
      <c r="JR10" s="317" t="n"/>
      <c r="JS10" s="317" t="n"/>
      <c r="JT10" s="317" t="n"/>
      <c r="JU10" s="317" t="n"/>
      <c r="JV10" s="317" t="n"/>
      <c r="JW10" s="317" t="n"/>
      <c r="JX10" s="317" t="n"/>
      <c r="JY10" s="317" t="n"/>
      <c r="JZ10" s="317" t="n"/>
      <c r="KA10" s="317" t="n"/>
      <c r="KB10" s="317" t="n"/>
      <c r="KC10" s="317" t="n"/>
      <c r="KD10" s="317" t="n"/>
      <c r="KE10" s="317" t="n"/>
      <c r="KF10" s="317" t="n"/>
      <c r="KG10" s="317" t="n"/>
      <c r="KH10" s="317" t="n"/>
      <c r="KI10" s="317" t="n"/>
      <c r="KJ10" s="317" t="n"/>
      <c r="KK10" s="317" t="n"/>
      <c r="KL10" s="317" t="n"/>
      <c r="KM10" s="317" t="n"/>
      <c r="KN10" s="317" t="n"/>
      <c r="KO10" s="317" t="n"/>
      <c r="KP10" s="317" t="n"/>
      <c r="KQ10" s="317" t="n"/>
      <c r="KR10" s="317" t="n"/>
      <c r="KS10" s="317" t="n"/>
      <c r="KT10" s="317" t="n"/>
      <c r="KU10" s="317" t="n"/>
      <c r="KV10" s="317" t="n"/>
      <c r="KW10" s="317" t="n"/>
      <c r="KX10" s="317" t="n"/>
      <c r="KY10" s="317" t="n"/>
      <c r="KZ10" s="317" t="n"/>
      <c r="LA10" s="317" t="n"/>
      <c r="LB10" s="317" t="n"/>
      <c r="LC10" s="317" t="n"/>
      <c r="LD10" s="317" t="n"/>
      <c r="LE10" s="317" t="n"/>
      <c r="LF10" s="317" t="n"/>
      <c r="LG10" s="317" t="n"/>
      <c r="LH10" s="317" t="n"/>
      <c r="LI10" s="317" t="n"/>
      <c r="LJ10" s="317" t="n"/>
      <c r="LK10" s="317" t="n"/>
      <c r="LL10" s="317" t="n"/>
      <c r="LM10" s="317" t="n"/>
      <c r="LN10" s="317" t="n"/>
      <c r="LO10" s="317" t="n"/>
      <c r="LP10" s="317" t="n"/>
      <c r="LQ10" s="317" t="n"/>
      <c r="LR10" s="317" t="n"/>
      <c r="LS10" s="317" t="n"/>
      <c r="LT10" s="317" t="n"/>
      <c r="LU10" s="317" t="n"/>
      <c r="LV10" s="317" t="n"/>
      <c r="LW10" s="317" t="n"/>
      <c r="LX10" s="317" t="n"/>
      <c r="LY10" s="317" t="n"/>
      <c r="LZ10" s="317" t="n"/>
      <c r="MA10" s="317" t="n"/>
      <c r="MB10" s="317" t="n"/>
      <c r="MC10" s="317" t="n"/>
      <c r="MD10" s="317" t="n"/>
      <c r="ME10" s="317" t="n"/>
      <c r="MF10" s="317" t="n"/>
      <c r="MG10" s="317" t="n"/>
      <c r="MH10" s="317" t="n"/>
      <c r="MI10" s="317" t="n"/>
      <c r="MJ10" s="317" t="n"/>
      <c r="MK10" s="317" t="n"/>
      <c r="ML10" s="317" t="n"/>
      <c r="MM10" s="317" t="n"/>
      <c r="MN10" s="317" t="n"/>
      <c r="MO10" s="317" t="n"/>
      <c r="MP10" s="317" t="n"/>
      <c r="MQ10" s="317" t="n"/>
      <c r="MR10" s="317" t="n"/>
      <c r="MS10" s="317" t="n"/>
      <c r="MT10" s="317" t="n"/>
      <c r="MU10" s="317" t="n"/>
      <c r="MV10" s="317" t="n"/>
      <c r="MW10" s="317" t="n"/>
      <c r="MX10" s="317" t="n"/>
      <c r="MY10" s="317" t="n"/>
      <c r="MZ10" s="317" t="n"/>
      <c r="NA10" s="317" t="n"/>
      <c r="NB10" s="317" t="n"/>
      <c r="NC10" s="317" t="n"/>
      <c r="ND10" s="317" t="n"/>
      <c r="NE10" s="317" t="n"/>
      <c r="NF10" s="317" t="n"/>
      <c r="NG10" s="317" t="n"/>
      <c r="NH10" s="317" t="n"/>
      <c r="NI10" s="317" t="n"/>
      <c r="NJ10" s="317" t="n"/>
      <c r="NK10" s="317" t="n"/>
      <c r="NL10" s="317" t="n"/>
      <c r="NM10" s="317" t="n"/>
      <c r="NN10" s="317" t="n"/>
      <c r="NO10" s="317" t="n"/>
      <c r="NP10" s="317" t="n"/>
      <c r="NQ10" s="317" t="n"/>
      <c r="NR10" s="317" t="n"/>
      <c r="NS10" s="317" t="n"/>
      <c r="NT10" s="317" t="n"/>
      <c r="NU10" s="317" t="n"/>
      <c r="NV10" s="317" t="n"/>
      <c r="NW10" s="317" t="n"/>
      <c r="NX10" s="317" t="n"/>
      <c r="NY10" s="317" t="n"/>
      <c r="NZ10" s="317" t="n"/>
      <c r="OA10" s="317" t="n"/>
      <c r="OB10" s="317" t="n"/>
      <c r="OC10" s="317" t="n"/>
      <c r="OD10" s="317" t="n"/>
      <c r="OE10" s="317" t="n"/>
      <c r="OF10" s="317" t="n"/>
      <c r="OG10" s="317" t="n"/>
      <c r="OH10" s="317" t="n"/>
      <c r="OI10" s="317" t="n"/>
      <c r="OJ10" s="317" t="n"/>
      <c r="OK10" s="317" t="n"/>
      <c r="OL10" s="317" t="n"/>
      <c r="OM10" s="317" t="n"/>
      <c r="ON10" s="317" t="n"/>
      <c r="OO10" s="317" t="n"/>
      <c r="OP10" s="317" t="n"/>
      <c r="OQ10" s="317" t="n"/>
      <c r="OR10" s="317" t="n"/>
      <c r="OS10" s="317" t="n"/>
      <c r="OT10" s="317" t="n"/>
      <c r="OU10" s="317" t="n"/>
      <c r="OV10" s="317" t="n"/>
      <c r="OW10" s="317" t="n"/>
      <c r="OX10" s="317" t="n"/>
      <c r="OY10" s="317" t="n"/>
      <c r="OZ10" s="317" t="n"/>
      <c r="PA10" s="317" t="n"/>
      <c r="PB10" s="317" t="n"/>
      <c r="PC10" s="317" t="n"/>
      <c r="PD10" s="317" t="n"/>
      <c r="PE10" s="317" t="n"/>
      <c r="PF10" s="317" t="n"/>
      <c r="PG10" s="317" t="n"/>
      <c r="PH10" s="317" t="n"/>
      <c r="PI10" s="317" t="n"/>
      <c r="PJ10" s="317" t="n"/>
      <c r="PK10" s="317" t="n"/>
      <c r="PL10" s="317" t="n"/>
      <c r="PM10" s="317" t="n"/>
      <c r="PN10" s="317" t="n"/>
      <c r="PO10" s="317" t="n"/>
      <c r="PP10" s="317" t="n"/>
      <c r="PQ10" s="317" t="n"/>
      <c r="PR10" s="317" t="n"/>
      <c r="PS10" s="317" t="n"/>
      <c r="PT10" s="317" t="n"/>
      <c r="PU10" s="317" t="n"/>
      <c r="PV10" s="317" t="n"/>
      <c r="PW10" s="317" t="n"/>
      <c r="PX10" s="317" t="n"/>
      <c r="PY10" s="317" t="n"/>
      <c r="PZ10" s="317" t="n"/>
      <c r="QA10" s="317" t="n"/>
      <c r="QB10" s="317" t="n"/>
      <c r="QC10" s="317" t="n"/>
      <c r="QD10" s="317" t="n"/>
      <c r="QE10" s="317" t="n"/>
      <c r="QF10" s="317" t="n"/>
      <c r="QG10" s="317" t="n"/>
      <c r="QH10" s="317" t="n"/>
      <c r="QI10" s="317" t="n"/>
      <c r="QJ10" s="317" t="n"/>
      <c r="QK10" s="317" t="n"/>
      <c r="QL10" s="317" t="n"/>
      <c r="QM10" s="317" t="n"/>
      <c r="QN10" s="317" t="n"/>
      <c r="QO10" s="317" t="n"/>
      <c r="QP10" s="317" t="n"/>
      <c r="QQ10" s="317" t="n"/>
      <c r="QR10" s="317" t="n"/>
      <c r="QS10" s="317" t="n"/>
      <c r="QT10" s="317" t="n"/>
      <c r="QU10" s="317" t="n"/>
      <c r="QV10" s="317" t="n"/>
      <c r="QW10" s="317" t="n"/>
      <c r="QX10" s="317" t="n"/>
      <c r="QY10" s="317" t="n"/>
      <c r="QZ10" s="317" t="n"/>
      <c r="RA10" s="317" t="n"/>
      <c r="RB10" s="317" t="n"/>
      <c r="RC10" s="317" t="n"/>
      <c r="RD10" s="317" t="n"/>
      <c r="RE10" s="317" t="n"/>
      <c r="RF10" s="317" t="n"/>
      <c r="RG10" s="317" t="n"/>
      <c r="RH10" s="317" t="n"/>
      <c r="RI10" s="317" t="n"/>
      <c r="RJ10" s="317" t="n"/>
      <c r="RK10" s="317" t="n"/>
      <c r="RL10" s="317" t="n"/>
      <c r="RM10" s="317" t="n"/>
      <c r="RN10" s="317" t="n"/>
      <c r="RO10" s="317" t="n"/>
      <c r="RP10" s="317" t="n"/>
      <c r="RQ10" s="317" t="n"/>
      <c r="RR10" s="317" t="n"/>
      <c r="RS10" s="317" t="n"/>
      <c r="RT10" s="317" t="n"/>
      <c r="RU10" s="317" t="n"/>
      <c r="RV10" s="317" t="n"/>
      <c r="RW10" s="317" t="n"/>
      <c r="RX10" s="317" t="n"/>
      <c r="RY10" s="317" t="n"/>
      <c r="RZ10" s="317" t="n"/>
      <c r="SA10" s="317" t="n"/>
      <c r="SB10" s="317" t="n"/>
      <c r="SC10" s="317" t="n"/>
      <c r="SD10" s="317" t="n"/>
      <c r="SE10" s="317" t="n"/>
      <c r="SF10" s="317" t="n"/>
      <c r="SG10" s="317" t="n"/>
      <c r="SH10" s="317" t="n"/>
      <c r="SI10" s="317" t="n"/>
      <c r="SJ10" s="317" t="n"/>
      <c r="SK10" s="317" t="n"/>
      <c r="SL10" s="317" t="n"/>
      <c r="SM10" s="317" t="n"/>
      <c r="SN10" s="317" t="n"/>
      <c r="SO10" s="317" t="n"/>
      <c r="SP10" s="317" t="n"/>
      <c r="SQ10" s="317" t="n"/>
      <c r="SR10" s="317" t="n"/>
      <c r="SS10" s="317" t="n"/>
      <c r="ST10" s="317" t="n"/>
      <c r="SU10" s="317" t="n"/>
      <c r="SV10" s="317" t="n"/>
      <c r="SW10" s="317" t="n"/>
      <c r="SX10" s="317" t="n"/>
      <c r="SY10" s="317" t="n"/>
      <c r="SZ10" s="317" t="n"/>
      <c r="TA10" s="317" t="n"/>
      <c r="TB10" s="317" t="n"/>
      <c r="TC10" s="317" t="n"/>
      <c r="TD10" s="317" t="n"/>
      <c r="TE10" s="317" t="n"/>
      <c r="TF10" s="317" t="n"/>
      <c r="TG10" s="317" t="n"/>
      <c r="TH10" s="317" t="n"/>
      <c r="TI10" s="317" t="n"/>
      <c r="TJ10" s="317" t="n"/>
      <c r="TK10" s="317" t="n"/>
      <c r="TL10" s="317" t="n"/>
      <c r="TM10" s="317" t="n"/>
      <c r="TN10" s="317" t="n"/>
      <c r="TO10" s="317" t="n"/>
      <c r="TP10" s="317" t="n"/>
      <c r="TQ10" s="317" t="n"/>
      <c r="TR10" s="317" t="n"/>
      <c r="TS10" s="317" t="n"/>
      <c r="TT10" s="317" t="n"/>
      <c r="TU10" s="317" t="n"/>
      <c r="TV10" s="317" t="n"/>
      <c r="TW10" s="317" t="n"/>
      <c r="TX10" s="317" t="n"/>
      <c r="TY10" s="317" t="n"/>
      <c r="TZ10" s="317" t="n"/>
      <c r="UA10" s="317" t="n"/>
      <c r="UB10" s="317" t="n"/>
      <c r="UC10" s="317" t="n"/>
      <c r="UD10" s="317" t="n"/>
      <c r="UE10" s="317" t="n"/>
      <c r="UF10" s="317" t="n"/>
      <c r="UG10" s="317" t="n"/>
      <c r="UH10" s="317" t="n"/>
      <c r="UI10" s="317" t="n"/>
      <c r="UJ10" s="317" t="n"/>
      <c r="UK10" s="317" t="n"/>
      <c r="UL10" s="317" t="n"/>
      <c r="UM10" s="317" t="n"/>
      <c r="UN10" s="317" t="n"/>
      <c r="UO10" s="317" t="n"/>
      <c r="UP10" s="317" t="n"/>
      <c r="UQ10" s="317" t="n"/>
      <c r="UR10" s="317" t="n"/>
      <c r="US10" s="317" t="n"/>
      <c r="UT10" s="317" t="n"/>
      <c r="UU10" s="317" t="n"/>
      <c r="UV10" s="317" t="n"/>
      <c r="UW10" s="317" t="n"/>
      <c r="UX10" s="317" t="n"/>
      <c r="UY10" s="317" t="n"/>
      <c r="UZ10" s="317" t="n"/>
      <c r="VA10" s="317" t="n"/>
      <c r="VB10" s="317" t="n"/>
      <c r="VC10" s="317" t="n"/>
      <c r="VD10" s="317" t="n"/>
      <c r="VE10" s="317" t="n"/>
      <c r="VF10" s="317" t="n"/>
      <c r="VG10" s="317" t="n"/>
      <c r="VH10" s="317" t="n"/>
      <c r="VI10" s="317" t="n"/>
      <c r="VJ10" s="317" t="n"/>
      <c r="VK10" s="317" t="n"/>
      <c r="VL10" s="317" t="n"/>
      <c r="VM10" s="317" t="n"/>
      <c r="VN10" s="317" t="n"/>
      <c r="VO10" s="317" t="n"/>
      <c r="VP10" s="317" t="n"/>
      <c r="VQ10" s="317" t="n"/>
      <c r="VR10" s="317" t="n"/>
      <c r="VS10" s="317" t="n"/>
      <c r="VT10" s="317" t="n"/>
      <c r="VU10" s="317" t="n"/>
      <c r="VV10" s="317" t="n"/>
      <c r="VW10" s="317" t="n"/>
      <c r="VX10" s="317" t="n"/>
      <c r="VY10" s="317" t="n"/>
      <c r="VZ10" s="317" t="n"/>
      <c r="WA10" s="317" t="n"/>
      <c r="WB10" s="317" t="n"/>
      <c r="WC10" s="317" t="n"/>
      <c r="WD10" s="317" t="n"/>
      <c r="WE10" s="317" t="n"/>
      <c r="WF10" s="317" t="n"/>
      <c r="WG10" s="317" t="n"/>
      <c r="WH10" s="317" t="n"/>
      <c r="WI10" s="317" t="n"/>
      <c r="WJ10" s="317" t="n"/>
      <c r="WK10" s="317" t="n"/>
      <c r="WL10" s="317" t="n"/>
      <c r="WM10" s="317" t="n"/>
      <c r="WN10" s="317" t="n"/>
      <c r="WO10" s="317" t="n"/>
      <c r="WP10" s="317" t="n"/>
      <c r="WQ10" s="317" t="n"/>
      <c r="WR10" s="317" t="n"/>
      <c r="WS10" s="317" t="n"/>
      <c r="WT10" s="317" t="n"/>
      <c r="WU10" s="317" t="n"/>
      <c r="WV10" s="317" t="n"/>
      <c r="WW10" s="317" t="n"/>
      <c r="WX10" s="317" t="n"/>
      <c r="WY10" s="317" t="n"/>
      <c r="WZ10" s="317" t="n"/>
      <c r="XA10" s="317" t="n"/>
      <c r="XB10" s="317" t="n"/>
      <c r="XC10" s="317" t="n"/>
      <c r="XD10" s="317" t="n"/>
      <c r="XE10" s="317" t="n"/>
      <c r="XF10" s="317" t="n"/>
      <c r="XG10" s="317" t="n"/>
      <c r="XH10" s="317" t="n"/>
      <c r="XI10" s="317" t="n"/>
      <c r="XJ10" s="317" t="n"/>
      <c r="XK10" s="317" t="n"/>
      <c r="XL10" s="317" t="n"/>
      <c r="XM10" s="317" t="n"/>
      <c r="XN10" s="317" t="n"/>
      <c r="XO10" s="317" t="n"/>
      <c r="XP10" s="317" t="n"/>
      <c r="XQ10" s="317" t="n"/>
      <c r="XR10" s="317" t="n"/>
      <c r="XS10" s="317" t="n"/>
      <c r="XT10" s="317" t="n"/>
      <c r="XU10" s="317" t="n"/>
      <c r="XV10" s="317" t="n"/>
      <c r="XW10" s="317" t="n"/>
      <c r="XX10" s="317" t="n"/>
      <c r="XY10" s="317" t="n"/>
      <c r="XZ10" s="317" t="n"/>
      <c r="YA10" s="317" t="n"/>
      <c r="YB10" s="317" t="n"/>
      <c r="YC10" s="317" t="n"/>
      <c r="YD10" s="317" t="n"/>
      <c r="YE10" s="317" t="n"/>
      <c r="YF10" s="317" t="n"/>
      <c r="YG10" s="317" t="n"/>
      <c r="YH10" s="317" t="n"/>
      <c r="YI10" s="317" t="n"/>
      <c r="YJ10" s="317" t="n"/>
      <c r="YK10" s="317" t="n"/>
      <c r="YL10" s="317" t="n"/>
      <c r="YM10" s="317" t="n"/>
      <c r="YN10" s="317" t="n"/>
      <c r="YO10" s="317" t="n"/>
      <c r="YP10" s="317" t="n"/>
      <c r="YQ10" s="317" t="n"/>
      <c r="YR10" s="317" t="n"/>
      <c r="YS10" s="317" t="n"/>
      <c r="YT10" s="317" t="n"/>
      <c r="YU10" s="317" t="n"/>
      <c r="YV10" s="317" t="n"/>
      <c r="YW10" s="317" t="n"/>
      <c r="YX10" s="317" t="n"/>
      <c r="YY10" s="317" t="n"/>
      <c r="YZ10" s="317" t="n"/>
      <c r="ZA10" s="317" t="n"/>
      <c r="ZB10" s="317" t="n"/>
      <c r="ZC10" s="317" t="n"/>
      <c r="ZD10" s="317" t="n"/>
      <c r="ZE10" s="317" t="n"/>
      <c r="ZF10" s="317" t="n"/>
      <c r="ZG10" s="317" t="n"/>
      <c r="ZH10" s="317" t="n"/>
      <c r="ZI10" s="317" t="n"/>
      <c r="ZJ10" s="317" t="n"/>
      <c r="ZK10" s="317" t="n"/>
      <c r="ZL10" s="317" t="n"/>
      <c r="ZM10" s="317" t="n"/>
      <c r="ZN10" s="317" t="n"/>
      <c r="ZO10" s="317" t="n"/>
      <c r="ZP10" s="317" t="n"/>
      <c r="ZQ10" s="317" t="n"/>
      <c r="ZR10" s="317" t="n"/>
      <c r="ZS10" s="317" t="n"/>
      <c r="ZT10" s="317" t="n"/>
      <c r="ZU10" s="317" t="n"/>
      <c r="ZV10" s="317" t="n"/>
      <c r="ZW10" s="317" t="n"/>
      <c r="ZX10" s="317" t="n"/>
      <c r="ZY10" s="317" t="n"/>
      <c r="ZZ10" s="317" t="n"/>
      <c r="AAA10" s="317" t="n"/>
      <c r="AAB10" s="317" t="n"/>
      <c r="AAC10" s="317" t="n"/>
      <c r="AAD10" s="317" t="n"/>
      <c r="AAE10" s="317" t="n"/>
      <c r="AAF10" s="317" t="n"/>
      <c r="AAG10" s="317" t="n"/>
      <c r="AAH10" s="317" t="n"/>
      <c r="AAI10" s="317" t="n"/>
      <c r="AAJ10" s="317" t="n"/>
      <c r="AAK10" s="317" t="n"/>
      <c r="AAL10" s="317" t="n"/>
      <c r="AAM10" s="317" t="n"/>
      <c r="AAN10" s="317" t="n"/>
      <c r="AAO10" s="317" t="n"/>
      <c r="AAP10" s="317" t="n"/>
      <c r="AAQ10" s="317" t="n"/>
      <c r="AAR10" s="317" t="n"/>
      <c r="AAS10" s="317" t="n"/>
      <c r="AAT10" s="317" t="n"/>
      <c r="AAU10" s="317" t="n"/>
      <c r="AAV10" s="317" t="n"/>
      <c r="AAW10" s="317" t="n"/>
      <c r="AAX10" s="317" t="n"/>
      <c r="AAY10" s="317" t="n"/>
      <c r="AAZ10" s="317" t="n"/>
      <c r="ABA10" s="317" t="n"/>
      <c r="ABB10" s="317" t="n"/>
      <c r="ABC10" s="317" t="n"/>
      <c r="ABD10" s="317" t="n"/>
      <c r="ABE10" s="317" t="n"/>
      <c r="ABF10" s="317" t="n"/>
      <c r="ABG10" s="317" t="n"/>
      <c r="ABH10" s="317" t="n"/>
      <c r="ABI10" s="317" t="n"/>
      <c r="ABJ10" s="317" t="n"/>
      <c r="ABK10" s="317" t="n"/>
      <c r="ABL10" s="317" t="n"/>
      <c r="ABM10" s="317" t="n"/>
      <c r="ABN10" s="317" t="n"/>
      <c r="ABO10" s="317" t="n"/>
      <c r="ABP10" s="317" t="n"/>
      <c r="ABQ10" s="317" t="n"/>
      <c r="ABR10" s="317" t="n"/>
      <c r="ABS10" s="317" t="n"/>
      <c r="ABT10" s="317" t="n"/>
      <c r="ABU10" s="317" t="n"/>
      <c r="ABV10" s="317" t="n"/>
      <c r="ABW10" s="317" t="n"/>
      <c r="ABX10" s="317" t="n"/>
      <c r="ABY10" s="317" t="n"/>
      <c r="ABZ10" s="317" t="n"/>
      <c r="ACA10" s="317" t="n"/>
      <c r="ACB10" s="317" t="n"/>
      <c r="ACC10" s="317" t="n"/>
      <c r="ACD10" s="317" t="n"/>
      <c r="ACE10" s="317" t="n"/>
      <c r="ACF10" s="317" t="n"/>
      <c r="ACG10" s="317" t="n"/>
      <c r="ACH10" s="317" t="n"/>
      <c r="ACI10" s="317" t="n"/>
      <c r="ACJ10" s="317" t="n"/>
      <c r="ACK10" s="317" t="n"/>
      <c r="ACL10" s="317" t="n"/>
      <c r="ACM10" s="317" t="n"/>
      <c r="ACN10" s="317" t="n"/>
      <c r="ACO10" s="317" t="n"/>
      <c r="ACP10" s="317" t="n"/>
      <c r="ACQ10" s="317" t="n"/>
      <c r="ACR10" s="317" t="n"/>
      <c r="ACS10" s="317" t="n"/>
      <c r="ACT10" s="317" t="n"/>
      <c r="ACU10" s="317" t="n"/>
      <c r="ACV10" s="317" t="n"/>
      <c r="ACW10" s="317" t="n"/>
      <c r="ACX10" s="317" t="n"/>
      <c r="ACY10" s="317" t="n"/>
      <c r="ACZ10" s="317" t="n"/>
      <c r="ADA10" s="317" t="n"/>
      <c r="ADB10" s="317" t="n"/>
      <c r="ADC10" s="317" t="n"/>
      <c r="ADD10" s="317" t="n"/>
      <c r="ADE10" s="317" t="n"/>
      <c r="ADF10" s="317" t="n"/>
      <c r="ADG10" s="317" t="n"/>
      <c r="ADH10" s="317" t="n"/>
      <c r="ADI10" s="317" t="n"/>
      <c r="ADJ10" s="317" t="n"/>
      <c r="ADK10" s="317" t="n"/>
      <c r="ADL10" s="317" t="n"/>
      <c r="ADM10" s="317" t="n"/>
      <c r="ADN10" s="317" t="n"/>
      <c r="ADO10" s="317" t="n"/>
      <c r="ADP10" s="317" t="n"/>
      <c r="ADQ10" s="317" t="n"/>
      <c r="ADR10" s="317" t="n"/>
      <c r="ADS10" s="317" t="n"/>
      <c r="ADT10" s="317" t="n"/>
      <c r="ADU10" s="317" t="n"/>
      <c r="ADV10" s="317" t="n"/>
      <c r="ADW10" s="317" t="n"/>
      <c r="ADX10" s="317" t="n"/>
      <c r="ADY10" s="317" t="n"/>
      <c r="ADZ10" s="317" t="n"/>
      <c r="AEA10" s="317" t="n"/>
      <c r="AEB10" s="317" t="n"/>
      <c r="AEC10" s="317" t="n"/>
      <c r="AED10" s="317" t="n"/>
      <c r="AEE10" s="317" t="n"/>
      <c r="AEF10" s="317" t="n"/>
      <c r="AEG10" s="317" t="n"/>
      <c r="AEH10" s="317" t="n"/>
      <c r="AEI10" s="317" t="n"/>
      <c r="AEJ10" s="317" t="n"/>
      <c r="AEK10" s="317" t="n"/>
      <c r="AEL10" s="317" t="n"/>
      <c r="AEM10" s="317" t="n"/>
      <c r="AEN10" s="317" t="n"/>
      <c r="AEO10" s="317" t="n"/>
      <c r="AEP10" s="317" t="n"/>
      <c r="AEQ10" s="317" t="n"/>
      <c r="AER10" s="317" t="n"/>
      <c r="AES10" s="317" t="n"/>
      <c r="AET10" s="317" t="n"/>
      <c r="AEU10" s="317" t="n"/>
      <c r="AEV10" s="317" t="n"/>
      <c r="AEW10" s="317" t="n"/>
      <c r="AEX10" s="317" t="n"/>
      <c r="AEY10" s="317" t="n"/>
      <c r="AEZ10" s="317" t="n"/>
      <c r="AFA10" s="317" t="n"/>
      <c r="AFB10" s="317" t="n"/>
      <c r="AFC10" s="317" t="n"/>
      <c r="AFD10" s="317" t="n"/>
      <c r="AFE10" s="317" t="n"/>
      <c r="AFF10" s="317" t="n"/>
      <c r="AFG10" s="317" t="n"/>
      <c r="AFH10" s="317" t="n"/>
      <c r="AFI10" s="317" t="n"/>
      <c r="AFJ10" s="317" t="n"/>
      <c r="AFK10" s="317" t="n"/>
      <c r="AFL10" s="317" t="n"/>
      <c r="AFM10" s="317" t="n"/>
      <c r="AFN10" s="317" t="n"/>
      <c r="AFO10" s="317" t="n"/>
      <c r="AFP10" s="317" t="n"/>
      <c r="AFQ10" s="317" t="n"/>
      <c r="AFR10" s="317" t="n"/>
      <c r="AFS10" s="317" t="n"/>
      <c r="AFT10" s="317" t="n"/>
      <c r="AFU10" s="317" t="n"/>
      <c r="AFV10" s="317" t="n"/>
      <c r="AFW10" s="317" t="n"/>
      <c r="AFX10" s="317" t="n"/>
      <c r="AFY10" s="317" t="n"/>
      <c r="AFZ10" s="317" t="n"/>
      <c r="AGA10" s="317" t="n"/>
      <c r="AGB10" s="317" t="n"/>
      <c r="AGC10" s="317" t="n"/>
      <c r="AGD10" s="317" t="n"/>
      <c r="AGE10" s="317" t="n"/>
      <c r="AGF10" s="317" t="n"/>
      <c r="AGG10" s="317" t="n"/>
      <c r="AGH10" s="317" t="n"/>
      <c r="AGI10" s="317" t="n"/>
      <c r="AGJ10" s="317" t="n"/>
      <c r="AGK10" s="317" t="n"/>
      <c r="AGL10" s="317" t="n"/>
      <c r="AGM10" s="317" t="n"/>
      <c r="AGN10" s="317" t="n"/>
      <c r="AGO10" s="317" t="n"/>
      <c r="AGP10" s="317" t="n"/>
      <c r="AGQ10" s="317" t="n"/>
      <c r="AGR10" s="317" t="n"/>
      <c r="AGS10" s="317" t="n"/>
      <c r="AGT10" s="317" t="n"/>
      <c r="AGU10" s="317" t="n"/>
      <c r="AGV10" s="317" t="n"/>
      <c r="AGW10" s="317" t="n"/>
      <c r="AGX10" s="317" t="n"/>
      <c r="AGY10" s="317" t="n"/>
      <c r="AGZ10" s="317" t="n"/>
      <c r="AHA10" s="317" t="n"/>
      <c r="AHB10" s="317" t="n"/>
      <c r="AHC10" s="317" t="n"/>
      <c r="AHD10" s="317" t="n"/>
      <c r="AHE10" s="317" t="n"/>
      <c r="AHF10" s="317" t="n"/>
      <c r="AHG10" s="317" t="n"/>
      <c r="AHH10" s="317" t="n"/>
      <c r="AHI10" s="317" t="n"/>
      <c r="AHJ10" s="317" t="n"/>
      <c r="AHK10" s="317" t="n"/>
      <c r="AHL10" s="317" t="n"/>
      <c r="AHM10" s="317" t="n"/>
      <c r="AHN10" s="317" t="n"/>
      <c r="AHO10" s="317" t="n"/>
      <c r="AHP10" s="317" t="n"/>
      <c r="AHQ10" s="317" t="n"/>
      <c r="AHR10" s="317" t="n"/>
      <c r="AHS10" s="317" t="n"/>
      <c r="AHT10" s="317" t="n"/>
      <c r="AHU10" s="317" t="n"/>
      <c r="AHV10" s="317" t="n"/>
      <c r="AHW10" s="317" t="n"/>
      <c r="AHX10" s="317" t="n"/>
      <c r="AHY10" s="317" t="n"/>
      <c r="AHZ10" s="317" t="n"/>
      <c r="AIA10" s="317" t="n"/>
      <c r="AIB10" s="317" t="n"/>
      <c r="AIC10" s="317" t="n"/>
      <c r="AID10" s="317" t="n"/>
      <c r="AIE10" s="317" t="n"/>
      <c r="AIF10" s="317" t="n"/>
      <c r="AIG10" s="317" t="n"/>
      <c r="AIH10" s="317" t="n"/>
      <c r="AII10" s="317" t="n"/>
      <c r="AIJ10" s="317" t="n"/>
      <c r="AIK10" s="317" t="n"/>
      <c r="AIL10" s="317" t="n"/>
      <c r="AIM10" s="317" t="n"/>
      <c r="AIN10" s="317" t="n"/>
      <c r="AIO10" s="317" t="n"/>
      <c r="AIP10" s="317" t="n"/>
      <c r="AIQ10" s="317" t="n"/>
      <c r="AIR10" s="317" t="n"/>
      <c r="AIS10" s="317" t="n"/>
      <c r="AIT10" s="317" t="n"/>
      <c r="AIU10" s="317" t="n"/>
      <c r="AIV10" s="317" t="n"/>
      <c r="AIW10" s="317" t="n"/>
      <c r="AIX10" s="317" t="n"/>
      <c r="AIY10" s="317" t="n"/>
      <c r="AIZ10" s="317" t="n"/>
      <c r="AJA10" s="317" t="n"/>
      <c r="AJB10" s="317" t="n"/>
      <c r="AJC10" s="317" t="n"/>
      <c r="AJD10" s="317" t="n"/>
      <c r="AJE10" s="317" t="n"/>
      <c r="AJF10" s="317" t="n"/>
      <c r="AJG10" s="317" t="n"/>
      <c r="AJH10" s="317" t="n"/>
      <c r="AJI10" s="317" t="n"/>
      <c r="AJJ10" s="317" t="n"/>
      <c r="AJK10" s="317" t="n"/>
      <c r="AJL10" s="317" t="n"/>
      <c r="AJM10" s="317" t="n"/>
      <c r="AJN10" s="317" t="n"/>
      <c r="AJO10" s="317" t="n"/>
      <c r="AJP10" s="317" t="n"/>
      <c r="AJQ10" s="317" t="n"/>
      <c r="AJR10" s="317" t="n"/>
      <c r="AJS10" s="317" t="n"/>
      <c r="AJT10" s="317" t="n"/>
      <c r="AJU10" s="317" t="n"/>
      <c r="AJV10" s="317" t="n"/>
      <c r="AJW10" s="317" t="n"/>
      <c r="AJX10" s="317" t="n"/>
      <c r="AJY10" s="317" t="n"/>
      <c r="AJZ10" s="317" t="n"/>
      <c r="AKA10" s="317" t="n"/>
      <c r="AKB10" s="317" t="n"/>
      <c r="AKC10" s="317" t="n"/>
      <c r="AKD10" s="317" t="n"/>
      <c r="AKE10" s="317" t="n"/>
      <c r="AKF10" s="317" t="n"/>
      <c r="AKG10" s="317" t="n"/>
      <c r="AKH10" s="317" t="n"/>
      <c r="AKI10" s="317" t="n"/>
      <c r="AKJ10" s="317" t="n"/>
      <c r="AKK10" s="317" t="n"/>
      <c r="AKL10" s="317" t="n"/>
      <c r="AKM10" s="317" t="n"/>
      <c r="AKN10" s="317" t="n"/>
      <c r="AKO10" s="317" t="n"/>
      <c r="AKP10" s="317" t="n"/>
      <c r="AKQ10" s="317" t="n"/>
      <c r="AKR10" s="317" t="n"/>
      <c r="AKS10" s="317" t="n"/>
      <c r="AKT10" s="317" t="n"/>
      <c r="AKU10" s="317" t="n"/>
      <c r="AKV10" s="317" t="n"/>
      <c r="AKW10" s="317" t="n"/>
      <c r="AKX10" s="317" t="n"/>
      <c r="AKY10" s="317" t="n"/>
      <c r="AKZ10" s="317" t="n"/>
      <c r="ALA10" s="317" t="n"/>
      <c r="ALB10" s="317" t="n"/>
      <c r="ALC10" s="317" t="n"/>
      <c r="ALD10" s="317" t="n"/>
      <c r="ALE10" s="317" t="n"/>
      <c r="ALF10" s="317" t="n"/>
      <c r="ALG10" s="317" t="n"/>
      <c r="ALH10" s="317" t="n"/>
      <c r="ALI10" s="317" t="n"/>
      <c r="ALJ10" s="317" t="n"/>
      <c r="ALK10" s="317" t="n"/>
      <c r="ALL10" s="317" t="n"/>
      <c r="ALM10" s="317" t="n"/>
      <c r="ALN10" s="317" t="n"/>
      <c r="ALO10" s="317" t="n"/>
      <c r="ALP10" s="317" t="n"/>
      <c r="ALQ10" s="317" t="n"/>
      <c r="ALR10" s="317" t="n"/>
      <c r="ALS10" s="317" t="n"/>
      <c r="ALT10" s="317" t="n"/>
      <c r="ALU10" s="317" t="n"/>
      <c r="ALV10" s="317" t="n"/>
      <c r="ALW10" s="317" t="n"/>
      <c r="ALX10" s="317" t="n"/>
      <c r="ALY10" s="317" t="n"/>
      <c r="ALZ10" s="317" t="n"/>
      <c r="AMA10" s="317" t="n"/>
      <c r="AMB10" s="317" t="n"/>
      <c r="AMC10" s="317" t="n"/>
      <c r="AMD10" s="317" t="n"/>
      <c r="AME10" s="295" t="n"/>
      <c r="AMF10" s="295" t="n"/>
    </row>
    <row r="11" ht="38.25" customFormat="1" customHeight="1" s="391">
      <c r="A11" s="160" t="inlineStr">
        <is>
          <t>RO001</t>
        </is>
      </c>
      <c r="B11" s="795" t="inlineStr">
        <is>
          <t xml:space="preserve">Produit d'exploitation bancaire </t>
        </is>
      </c>
      <c r="C11" s="895" t="n"/>
      <c r="D11" s="390" t="n"/>
    </row>
    <row r="12" ht="38.25" customFormat="1" customHeight="1" s="391">
      <c r="A12" s="160" t="inlineStr">
        <is>
          <t>RO002</t>
        </is>
      </c>
      <c r="B12" s="981" t="inlineStr">
        <is>
          <t xml:space="preserve">Moins-values réalisées sur cessions de titres du portefeuille bancaire  </t>
        </is>
      </c>
      <c r="C12" s="895" t="n"/>
      <c r="D12" s="390" t="n"/>
    </row>
    <row r="13" ht="38.25" customFormat="1" customHeight="1" s="391">
      <c r="A13" s="160" t="inlineStr">
        <is>
          <t>RO003</t>
        </is>
      </c>
      <c r="B13" s="795" t="inlineStr">
        <is>
          <t>(-) Charges d'exploitation bancaire</t>
        </is>
      </c>
      <c r="C13" s="895" t="n"/>
      <c r="D13" s="390" t="n"/>
    </row>
    <row r="14" ht="38.25" customFormat="1" customHeight="1" s="391">
      <c r="A14" s="160" t="inlineStr">
        <is>
          <t>RO005</t>
        </is>
      </c>
      <c r="B14" s="795" t="inlineStr">
        <is>
          <t xml:space="preserve">(-) Plus-values réalisées sur cessions de titres du portefeuille bancaire </t>
        </is>
      </c>
      <c r="C14" s="895" t="n"/>
      <c r="D14" s="390" t="n"/>
    </row>
    <row r="15" ht="38.25" customFormat="1" customHeight="1" s="391">
      <c r="A15" s="160" t="inlineStr">
        <is>
          <t>RO006</t>
        </is>
      </c>
      <c r="B15" s="795" t="inlineStr">
        <is>
          <t xml:space="preserve">(+/-) Produits nets d'exploitation bancaire exceptionnels ou inhabituels </t>
        </is>
      </c>
      <c r="C15" s="895" t="n"/>
      <c r="D15" s="390" t="n"/>
    </row>
    <row r="16" ht="38.25" customFormat="1" customHeight="1" s="391">
      <c r="A16" s="160" t="inlineStr">
        <is>
          <t>RO007</t>
        </is>
      </c>
      <c r="B16" s="795" t="inlineStr">
        <is>
          <t>(-) Produits provenant des activités d’assurance</t>
        </is>
      </c>
      <c r="C16" s="895" t="n"/>
      <c r="D16" s="390" t="n"/>
    </row>
    <row r="17" ht="47.25" customFormat="1" customHeight="1" s="391">
      <c r="A17" s="160" t="inlineStr">
        <is>
          <t>RO008</t>
        </is>
      </c>
      <c r="B17" s="795" t="inlineStr">
        <is>
          <t xml:space="preserve">(-) Produits provenant des entités financières exclues du périmètre de consolidation prudentiel aux fins du calcul des exigences de fonds propres 
</t>
        </is>
      </c>
      <c r="C17" s="895" t="n"/>
      <c r="D17" s="390" t="n"/>
    </row>
    <row r="18" ht="18" customFormat="1" customHeight="1" s="315">
      <c r="A18" s="160" t="inlineStr">
        <is>
          <t>RO009</t>
        </is>
      </c>
      <c r="B18" s="796" t="inlineStr">
        <is>
          <t>Total</t>
        </is>
      </c>
      <c r="C18" s="895" t="n"/>
      <c r="D18" s="390" t="n"/>
    </row>
    <row r="19" ht="9" customHeight="1" s="885">
      <c r="A19" s="782" t="n"/>
    </row>
    <row r="20" ht="9" customHeight="1" s="885">
      <c r="A20" s="782" t="n"/>
    </row>
    <row r="21" ht="27.75" customHeight="1" s="885">
      <c r="A21" s="42" t="inlineStr">
        <is>
          <t>B. Calcul des actifs pondérés au titre du risque opérationnel</t>
        </is>
      </c>
    </row>
    <row r="22" ht="9" customHeight="1" s="885">
      <c r="A22" s="782" t="n"/>
    </row>
    <row r="23" ht="42" customHeight="1" s="885">
      <c r="A23" s="799" t="inlineStr">
        <is>
          <t>Code DISPRU</t>
        </is>
      </c>
      <c r="B23" s="393" t="inlineStr">
        <is>
          <t>Intitulé</t>
        </is>
      </c>
      <c r="C23" s="794" t="inlineStr">
        <is>
          <t>Produit brut
(total ou zéro, le plus élevé étant retenu)</t>
        </is>
      </c>
      <c r="D23" s="894" t="n"/>
      <c r="E23" s="895" t="n"/>
      <c r="F23" s="794" t="inlineStr">
        <is>
          <t>Moyenne du
produit brut &gt; 0</t>
        </is>
      </c>
      <c r="G23" s="794" t="inlineStr">
        <is>
          <t>Alpha</t>
        </is>
      </c>
      <c r="H23" s="794" t="inlineStr">
        <is>
          <t>Exigences de fonds propres</t>
        </is>
      </c>
      <c r="I23" s="794" t="inlineStr">
        <is>
          <t>Actifs pondérés des risques</t>
        </is>
      </c>
    </row>
    <row r="24" ht="33" customHeight="1" s="885">
      <c r="A24" s="792" t="n"/>
      <c r="B24" s="793" t="n"/>
      <c r="C24" s="395" t="inlineStr">
        <is>
          <t>ANNÉE-3</t>
        </is>
      </c>
      <c r="D24" s="794" t="inlineStr">
        <is>
          <t>ANNÉE-2</t>
        </is>
      </c>
      <c r="E24" s="794" t="inlineStr">
        <is>
          <t>ANNÉE-1</t>
        </is>
      </c>
      <c r="F24" s="896" t="n"/>
      <c r="G24" s="896" t="n"/>
      <c r="H24" s="896" t="n"/>
      <c r="I24" s="896" t="n"/>
    </row>
    <row r="25" ht="33" customHeight="1" s="885">
      <c r="A25" s="896" t="n"/>
      <c r="B25" s="896" t="n"/>
      <c r="C25" s="396" t="inlineStr">
        <is>
          <t>(a)</t>
        </is>
      </c>
      <c r="D25" s="397" t="inlineStr">
        <is>
          <t>(b)</t>
        </is>
      </c>
      <c r="E25" s="797" t="inlineStr">
        <is>
          <t>(c)</t>
        </is>
      </c>
      <c r="F25" s="797" t="inlineStr">
        <is>
          <t xml:space="preserve">d = (a+b+c)/nombre année où produit brut &gt; 0 </t>
        </is>
      </c>
      <c r="G25" s="797" t="inlineStr">
        <is>
          <t>(e)</t>
        </is>
      </c>
      <c r="H25" s="797" t="inlineStr">
        <is>
          <t>(f) = d x e</t>
        </is>
      </c>
      <c r="I25" s="797" t="inlineStr">
        <is>
          <t>(g) = f x 12,5</t>
        </is>
      </c>
    </row>
    <row r="26" ht="29.25" customHeight="1" s="885">
      <c r="A26" s="160" t="inlineStr">
        <is>
          <t>RO010</t>
        </is>
      </c>
      <c r="B26" s="398" t="inlineStr">
        <is>
          <t xml:space="preserve">TOTAL </t>
        </is>
      </c>
      <c r="C26" s="390" t="n"/>
      <c r="D26" s="390" t="n"/>
      <c r="E26" s="390" t="n"/>
      <c r="F26" s="390">
        <f>(C26+D26+E26)/3</f>
        <v/>
      </c>
      <c r="G26" s="982" t="n">
        <v>0.15</v>
      </c>
      <c r="H26" s="390">
        <f>F26*G26</f>
        <v/>
      </c>
      <c r="I26" s="390">
        <f>H26*12.5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JcHGmtso0mCB9e6ma0Irg==" formatRows="1" sort="1" spinCount="100000" hashValue="NVDc/ER8yrd+FWFFnI3ovqcOMx7fvXUphU17Wf36w5mPmaS2FJGCFxUWsWWha1bE0mbaeNFy48kDdwYKYEE3RQ=="/>
  <mergeCells count="17">
    <mergeCell ref="B13:C13"/>
    <mergeCell ref="B16:C16"/>
    <mergeCell ref="A24:A25"/>
    <mergeCell ref="A1:G1"/>
    <mergeCell ref="B15:C15"/>
    <mergeCell ref="B11:C11"/>
    <mergeCell ref="G23:G24"/>
    <mergeCell ref="C23:E23"/>
    <mergeCell ref="B10:C10"/>
    <mergeCell ref="B17:C17"/>
    <mergeCell ref="B14:C14"/>
    <mergeCell ref="H23:H24"/>
    <mergeCell ref="F23:F24"/>
    <mergeCell ref="I23:I24"/>
    <mergeCell ref="B24:B25"/>
    <mergeCell ref="B18:C18"/>
    <mergeCell ref="B12:C12"/>
  </mergeCells>
  <pageMargins left="0.708333333333333" right="0.708333333333333" top="0.747916666666667" bottom="0.747916666666667" header="0.511811023622047" footer="0.315277777777778"/>
  <pageSetup orientation="landscape" paperSize="9" scale="50" horizontalDpi="300" verticalDpi="300"/>
  <headerFooter>
    <oddHeader/>
    <oddFooter>&amp;R&amp;P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K18"/>
  <sheetViews>
    <sheetView view="pageBreakPreview" zoomScale="68" zoomScaleNormal="70" zoomScaleSheetLayoutView="70" workbookViewId="0">
      <selection activeCell="B14" sqref="B14"/>
    </sheetView>
  </sheetViews>
  <sheetFormatPr baseColWidth="10" defaultColWidth="10" defaultRowHeight="17.25" customHeight="1"/>
  <cols>
    <col collapsed="1" width="9.90625" customWidth="1" style="770" min="1" max="1"/>
    <col collapsed="1" width="72" customWidth="1" style="770" min="2" max="2"/>
    <col collapsed="1" width="20.90625" customWidth="1" style="316" min="3" max="3"/>
    <col collapsed="1" width="20.90625" customWidth="1" style="770" min="4" max="8"/>
    <col collapsed="1" width="10" customWidth="1" style="770" min="9" max="16384"/>
  </cols>
  <sheetData>
    <row r="1" ht="29.25" customHeight="1" s="885">
      <c r="A1" s="767" t="inlineStr">
        <is>
          <t>RISQUE OPERATIONNEL :  COLLECTE DES DONNEES DE PERTES AU TITRE DE L'APPROCHE INDICATEUR DE BASE</t>
        </is>
      </c>
      <c r="B1" s="886" t="n"/>
      <c r="C1" s="886" t="n"/>
      <c r="D1" s="886" t="n"/>
      <c r="E1" s="886" t="n"/>
      <c r="F1" s="886" t="n"/>
      <c r="G1" s="886" t="n"/>
      <c r="H1" s="964" t="inlineStr">
        <is>
          <t>EP22</t>
        </is>
      </c>
      <c r="I1" s="967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B7" s="302" t="n"/>
      <c r="C7" s="302" t="n"/>
      <c r="D7" s="302" t="n"/>
      <c r="E7" s="302" t="n"/>
      <c r="F7" s="302" t="n"/>
      <c r="G7" s="302" t="n"/>
      <c r="H7" s="302" t="n"/>
    </row>
    <row r="8" ht="39" customFormat="1" customHeight="1" s="293">
      <c r="A8" s="799" t="inlineStr">
        <is>
          <t>Code DISPRU</t>
        </is>
      </c>
      <c r="B8" s="400" t="n"/>
      <c r="C8" s="800" t="inlineStr">
        <is>
          <t>Par catégorie d'évènement</t>
        </is>
      </c>
      <c r="D8" s="894" t="n"/>
      <c r="E8" s="894" t="n"/>
      <c r="F8" s="895" t="n"/>
      <c r="G8" s="800" t="inlineStr">
        <is>
          <t>Seuil appliqué pour la collecte des pertes</t>
        </is>
      </c>
      <c r="H8" s="895" t="n"/>
    </row>
    <row r="9" ht="59.25" customFormat="1" customHeight="1" s="404">
      <c r="A9" s="896" t="n"/>
      <c r="B9" s="402" t="inlineStr">
        <is>
          <t>Catégorie d'évènement</t>
        </is>
      </c>
      <c r="C9" s="403" t="inlineStr">
        <is>
          <t>Nombre d'événements</t>
        </is>
      </c>
      <c r="D9" s="403" t="inlineStr">
        <is>
          <t>Montant total des pertes</t>
        </is>
      </c>
      <c r="E9" s="403" t="inlineStr">
        <is>
          <t>Perte maximale</t>
        </is>
      </c>
      <c r="F9" s="403" t="inlineStr">
        <is>
          <t>Total des cinq plus grandes pertes</t>
        </is>
      </c>
      <c r="G9" s="800" t="inlineStr">
        <is>
          <t>Le plus élevé</t>
        </is>
      </c>
      <c r="H9" s="800" t="inlineStr">
        <is>
          <t>Le plus bas</t>
        </is>
      </c>
    </row>
    <row r="10" ht="42" customHeight="1" s="885">
      <c r="A10" s="160" t="inlineStr">
        <is>
          <t>RO011</t>
        </is>
      </c>
      <c r="B10" s="405" t="inlineStr">
        <is>
          <t>Fraude interne</t>
        </is>
      </c>
      <c r="C10" s="390" t="n"/>
      <c r="D10" s="390" t="n"/>
      <c r="E10" s="390" t="n"/>
      <c r="F10" s="390" t="n"/>
      <c r="G10" s="390" t="n">
        <v>1</v>
      </c>
      <c r="H10" s="390" t="n"/>
    </row>
    <row r="11" ht="42" customHeight="1" s="885">
      <c r="A11" s="160" t="inlineStr">
        <is>
          <t>RO012</t>
        </is>
      </c>
      <c r="B11" s="405" t="inlineStr">
        <is>
          <t>Fraude externe</t>
        </is>
      </c>
      <c r="C11" s="390" t="n"/>
      <c r="D11" s="390" t="n"/>
      <c r="E11" s="390" t="n"/>
      <c r="F11" s="390" t="n"/>
      <c r="G11" s="390" t="n">
        <v>1</v>
      </c>
      <c r="H11" s="390" t="n"/>
    </row>
    <row r="12" ht="42" customHeight="1" s="885">
      <c r="A12" s="160" t="inlineStr">
        <is>
          <t>RO013</t>
        </is>
      </c>
      <c r="B12" s="405" t="inlineStr">
        <is>
          <t>Pratiques en matière d'emploi et de sécurité sur le lieu travail</t>
        </is>
      </c>
      <c r="C12" s="390" t="n"/>
      <c r="D12" s="390" t="n"/>
      <c r="E12" s="390" t="n"/>
      <c r="F12" s="390" t="n"/>
      <c r="G12" s="390" t="n">
        <v>1</v>
      </c>
      <c r="H12" s="390" t="n"/>
    </row>
    <row r="13" ht="35" customHeight="1" s="885">
      <c r="A13" s="160" t="inlineStr">
        <is>
          <t>RO014</t>
        </is>
      </c>
      <c r="B13" s="405" t="inlineStr">
        <is>
          <t>Pratiques concernant les clients, les produits et l’activité commerciale</t>
        </is>
      </c>
      <c r="C13" s="390" t="n"/>
      <c r="D13" s="390" t="n"/>
      <c r="E13" s="390" t="n"/>
      <c r="F13" s="390" t="n"/>
      <c r="G13" s="390" t="n">
        <v>1</v>
      </c>
      <c r="H13" s="390" t="n"/>
    </row>
    <row r="14" ht="42" customHeight="1" s="885">
      <c r="A14" s="160" t="inlineStr">
        <is>
          <t>RO015</t>
        </is>
      </c>
      <c r="B14" s="405" t="inlineStr">
        <is>
          <t>Dommages occasionnés aux actifs physiques</t>
        </is>
      </c>
      <c r="C14" s="390" t="n"/>
      <c r="D14" s="390" t="n"/>
      <c r="E14" s="390" t="n"/>
      <c r="F14" s="390" t="n"/>
      <c r="G14" s="390" t="n">
        <v>1</v>
      </c>
      <c r="H14" s="390" t="n"/>
    </row>
    <row r="15" ht="40.5" customHeight="1" s="885">
      <c r="A15" s="160" t="inlineStr">
        <is>
          <t>RO016</t>
        </is>
      </c>
      <c r="B15" s="405" t="inlineStr">
        <is>
          <t>Interruptions d'activités et défaillances des systèmes</t>
        </is>
      </c>
      <c r="C15" s="390" t="n"/>
      <c r="D15" s="390" t="n"/>
      <c r="E15" s="390" t="n"/>
      <c r="F15" s="390" t="n"/>
      <c r="G15" s="390" t="n">
        <v>1</v>
      </c>
      <c r="H15" s="390" t="n"/>
    </row>
    <row r="16" ht="51.75" customHeight="1" s="885">
      <c r="A16" s="160" t="inlineStr">
        <is>
          <t>RO017</t>
        </is>
      </c>
      <c r="B16" s="405" t="inlineStr">
        <is>
          <t xml:space="preserve">Exécution des opérations, livraisons et gestion des processus
 </t>
        </is>
      </c>
      <c r="C16" s="390" t="n"/>
      <c r="D16" s="390" t="n"/>
      <c r="E16" s="390" t="n"/>
      <c r="F16" s="390" t="n"/>
      <c r="G16" s="390" t="n">
        <v>1</v>
      </c>
      <c r="H16" s="390" t="n"/>
    </row>
    <row r="17" ht="18" customFormat="1" customHeight="1" s="315">
      <c r="A17" s="406" t="inlineStr">
        <is>
          <t>RO018</t>
        </is>
      </c>
      <c r="B17" s="407" t="inlineStr">
        <is>
          <t>TOTAL</t>
        </is>
      </c>
      <c r="C17" s="408" t="n">
        <v>0</v>
      </c>
      <c r="D17" s="408" t="n">
        <v>0</v>
      </c>
      <c r="E17" s="408" t="n">
        <v>0</v>
      </c>
      <c r="F17" s="408" t="n">
        <v>0</v>
      </c>
      <c r="G17" s="408" t="n">
        <v>7</v>
      </c>
      <c r="H17" s="408" t="n">
        <v>0</v>
      </c>
    </row>
    <row r="18" ht="17.5" customHeight="1" s="885">
      <c r="C18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DqJPNUN5l5THRTEaMrBNA==" formatRows="1" sort="1" spinCount="100000" hashValue="wYRxw6Bc2ubMScgfZeDy8u5QHBQCK+AbHPxB9rYa4g2gm5z9dBHvkRa8EXO+SB67AR3tekbk19x6xP7CaPLCqA=="/>
  <mergeCells count="4">
    <mergeCell ref="C8:F8"/>
    <mergeCell ref="A1:G1"/>
    <mergeCell ref="A8:A9"/>
    <mergeCell ref="G8:H8"/>
  </mergeCells>
  <pageMargins left="0.708333333333333" right="0.708333333333333" top="0.747916666666667" bottom="0.747916666666667" header="0.511811023622047" footer="0.315277777777778"/>
  <pageSetup orientation="landscape" paperSize="9" scale="55" horizontalDpi="300" verticalDpi="300"/>
  <headerFooter>
    <oddHeader/>
    <oddFooter>&amp;R&amp;P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K38"/>
  <sheetViews>
    <sheetView tabSelected="1" view="pageBreakPreview" zoomScale="50" zoomScaleNormal="60" zoomScalePageLayoutView="50" workbookViewId="0">
      <selection activeCell="B17" sqref="B17"/>
    </sheetView>
  </sheetViews>
  <sheetFormatPr baseColWidth="10" defaultColWidth="10" defaultRowHeight="9" customHeight="1"/>
  <cols>
    <col collapsed="1" width="12.81640625" customWidth="1" style="409" min="1" max="1"/>
    <col collapsed="1" width="80.90625" customWidth="1" style="409" min="2" max="2"/>
    <col collapsed="1" width="21.36328125" customWidth="1" style="409" min="3" max="11"/>
    <col collapsed="1" width="18.81640625" customWidth="1" style="409" min="12" max="12"/>
    <col collapsed="1" width="10" customWidth="1" style="409" min="13" max="16384"/>
  </cols>
  <sheetData>
    <row r="1" ht="35.25" customHeight="1" s="885">
      <c r="A1" s="807" t="inlineStr">
        <is>
          <t xml:space="preserve">RISQUE OPERATIONNEL :  EXIGENCES DE FONDS PROPRES AU TITRE DE L'APPROCHE STANDARD 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983" t="inlineStr">
        <is>
          <t>EP23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984" t="n"/>
      <c r="L2" s="984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  <c r="AMJ2" s="409" t="n"/>
      <c r="AMK2" s="409" t="n"/>
    </row>
    <row r="3" ht="20" customFormat="1" customHeight="1" s="416">
      <c r="B3" s="417" t="n"/>
      <c r="E3" s="986" t="n"/>
      <c r="F3" s="986" t="n"/>
      <c r="G3" s="986" t="n"/>
      <c r="H3" s="986" t="n"/>
      <c r="I3" s="986" t="n"/>
      <c r="J3" s="986" t="n"/>
      <c r="K3" s="986" t="n"/>
      <c r="L3" s="986" t="n"/>
    </row>
    <row r="4" ht="9.75" customFormat="1" customHeight="1" s="416">
      <c r="A4" s="417" t="n"/>
      <c r="C4" s="986" t="n"/>
      <c r="E4" s="986" t="n"/>
      <c r="F4" s="986" t="n"/>
      <c r="G4" s="986" t="n"/>
      <c r="H4" s="986" t="n"/>
      <c r="I4" s="986" t="n"/>
      <c r="J4" s="986" t="n"/>
      <c r="K4" s="986" t="n"/>
      <c r="L4" s="986" t="n"/>
    </row>
    <row r="5" ht="20" customFormat="1" customHeight="1" s="416">
      <c r="A5" s="417" t="n"/>
      <c r="C5" s="986" t="n"/>
      <c r="E5" s="986" t="n"/>
      <c r="F5" s="986" t="n"/>
      <c r="G5" s="986" t="n"/>
      <c r="H5" s="986" t="n"/>
      <c r="I5" s="986" t="n"/>
      <c r="J5" s="986" t="n"/>
      <c r="K5" s="986" t="n"/>
      <c r="L5" s="986" t="n"/>
    </row>
    <row r="6" ht="20" customFormat="1" customHeight="1" s="416">
      <c r="C6" s="986" t="n"/>
      <c r="E6" s="986" t="n"/>
      <c r="F6" s="986" t="n"/>
      <c r="G6" s="986" t="n"/>
      <c r="H6" s="986" t="n"/>
      <c r="I6" s="986" t="n"/>
      <c r="J6" s="986" t="n"/>
      <c r="K6" s="986" t="n"/>
      <c r="L6" s="986" t="n"/>
    </row>
    <row r="7" ht="18" customHeight="1" s="885">
      <c r="B7" s="419" t="n"/>
      <c r="C7" s="419" t="n"/>
      <c r="D7" s="419" t="n"/>
      <c r="E7" s="419" t="n"/>
      <c r="F7" s="419" t="n"/>
      <c r="G7" s="419" t="n"/>
      <c r="H7" s="419" t="n"/>
    </row>
    <row r="8" ht="20" customFormat="1" customHeight="1" s="420">
      <c r="A8" s="420" t="inlineStr">
        <is>
          <t>A. Calcul du produit brut</t>
        </is>
      </c>
      <c r="B8" s="421" t="n"/>
      <c r="C8" s="421" t="n"/>
      <c r="D8" s="421" t="n"/>
      <c r="E8" s="421" t="n"/>
      <c r="F8" s="421" t="n"/>
      <c r="G8" s="421" t="n"/>
      <c r="H8" s="421" t="n"/>
    </row>
    <row r="9" ht="6.75" customHeight="1" s="885">
      <c r="B9" s="419" t="n"/>
      <c r="C9" s="419" t="n"/>
      <c r="D9" s="419" t="n"/>
      <c r="E9" s="419" t="n"/>
      <c r="F9" s="419" t="n"/>
      <c r="G9" s="419" t="n"/>
      <c r="H9" s="419" t="n"/>
    </row>
    <row r="10" ht="26.25" customHeight="1" s="885">
      <c r="A10" s="808" t="inlineStr">
        <is>
          <t>Code DISPRU</t>
        </is>
      </c>
      <c r="B10" s="805" t="inlineStr">
        <is>
          <t>Poste</t>
        </is>
      </c>
      <c r="C10" s="809" t="inlineStr">
        <is>
          <t>Lignes de métier</t>
        </is>
      </c>
      <c r="D10" s="894" t="n"/>
      <c r="E10" s="894" t="n"/>
      <c r="F10" s="894" t="n"/>
      <c r="G10" s="894" t="n"/>
      <c r="H10" s="894" t="n"/>
      <c r="I10" s="894" t="n"/>
      <c r="J10" s="895" t="n"/>
      <c r="K10" s="810" t="inlineStr">
        <is>
          <t>Total</t>
        </is>
      </c>
      <c r="M10" s="412" t="n"/>
      <c r="N10" s="412" t="n"/>
      <c r="O10" s="412" t="n"/>
      <c r="P10" s="412" t="n"/>
      <c r="Q10" s="412" t="n"/>
      <c r="R10" s="412" t="n"/>
      <c r="S10" s="412" t="n"/>
      <c r="T10" s="412" t="n"/>
      <c r="U10" s="412" t="n"/>
      <c r="V10" s="412" t="n"/>
      <c r="W10" s="412" t="n"/>
      <c r="X10" s="412" t="n"/>
      <c r="Y10" s="412" t="n"/>
      <c r="Z10" s="412" t="n"/>
      <c r="AA10" s="412" t="n"/>
      <c r="AB10" s="412" t="n"/>
      <c r="AC10" s="412" t="n"/>
      <c r="AD10" s="412" t="n"/>
      <c r="AE10" s="412" t="n"/>
      <c r="AF10" s="412" t="n"/>
      <c r="AG10" s="412" t="n"/>
      <c r="AH10" s="412" t="n"/>
      <c r="AI10" s="412" t="n"/>
      <c r="AJ10" s="412" t="n"/>
      <c r="AK10" s="412" t="n"/>
      <c r="AL10" s="412" t="n"/>
      <c r="AM10" s="412" t="n"/>
      <c r="AN10" s="412" t="n"/>
      <c r="AO10" s="412" t="n"/>
      <c r="AP10" s="412" t="n"/>
      <c r="AQ10" s="412" t="n"/>
      <c r="AR10" s="412" t="n"/>
      <c r="AS10" s="412" t="n"/>
      <c r="AT10" s="412" t="n"/>
      <c r="AU10" s="412" t="n"/>
      <c r="AV10" s="412" t="n"/>
      <c r="AW10" s="412" t="n"/>
      <c r="AX10" s="412" t="n"/>
      <c r="AY10" s="412" t="n"/>
      <c r="AZ10" s="412" t="n"/>
      <c r="BA10" s="412" t="n"/>
      <c r="BB10" s="412" t="n"/>
      <c r="BC10" s="412" t="n"/>
      <c r="BD10" s="412" t="n"/>
      <c r="BE10" s="412" t="n"/>
      <c r="BF10" s="412" t="n"/>
      <c r="BG10" s="412" t="n"/>
      <c r="BH10" s="412" t="n"/>
      <c r="BI10" s="412" t="n"/>
      <c r="BJ10" s="412" t="n"/>
      <c r="BK10" s="412" t="n"/>
      <c r="BL10" s="412" t="n"/>
      <c r="BM10" s="412" t="n"/>
      <c r="BN10" s="412" t="n"/>
      <c r="BO10" s="412" t="n"/>
      <c r="BP10" s="412" t="n"/>
      <c r="BQ10" s="412" t="n"/>
      <c r="BR10" s="412" t="n"/>
      <c r="BS10" s="412" t="n"/>
      <c r="BT10" s="412" t="n"/>
      <c r="BU10" s="412" t="n"/>
      <c r="BV10" s="412" t="n"/>
      <c r="BW10" s="412" t="n"/>
      <c r="BX10" s="412" t="n"/>
      <c r="BY10" s="412" t="n"/>
      <c r="BZ10" s="412" t="n"/>
      <c r="CA10" s="412" t="n"/>
      <c r="CB10" s="412" t="n"/>
      <c r="CC10" s="412" t="n"/>
      <c r="CD10" s="412" t="n"/>
      <c r="CE10" s="412" t="n"/>
      <c r="CF10" s="412" t="n"/>
      <c r="CG10" s="412" t="n"/>
      <c r="CH10" s="412" t="n"/>
      <c r="CI10" s="412" t="n"/>
      <c r="CJ10" s="412" t="n"/>
      <c r="CK10" s="412" t="n"/>
      <c r="CL10" s="412" t="n"/>
      <c r="CM10" s="412" t="n"/>
      <c r="CN10" s="412" t="n"/>
      <c r="CO10" s="412" t="n"/>
      <c r="CP10" s="412" t="n"/>
      <c r="CQ10" s="412" t="n"/>
      <c r="CR10" s="412" t="n"/>
      <c r="CS10" s="412" t="n"/>
      <c r="CT10" s="412" t="n"/>
      <c r="CU10" s="412" t="n"/>
      <c r="CV10" s="412" t="n"/>
      <c r="CW10" s="412" t="n"/>
      <c r="CX10" s="412" t="n"/>
      <c r="CY10" s="412" t="n"/>
      <c r="CZ10" s="412" t="n"/>
      <c r="DA10" s="412" t="n"/>
      <c r="DB10" s="412" t="n"/>
      <c r="DC10" s="412" t="n"/>
      <c r="DD10" s="412" t="n"/>
      <c r="DE10" s="412" t="n"/>
      <c r="DF10" s="412" t="n"/>
      <c r="DG10" s="412" t="n"/>
      <c r="DH10" s="412" t="n"/>
      <c r="DI10" s="412" t="n"/>
      <c r="DJ10" s="412" t="n"/>
      <c r="DK10" s="412" t="n"/>
      <c r="DL10" s="412" t="n"/>
      <c r="DM10" s="412" t="n"/>
      <c r="DN10" s="412" t="n"/>
      <c r="DO10" s="412" t="n"/>
      <c r="DP10" s="412" t="n"/>
      <c r="DQ10" s="412" t="n"/>
      <c r="DR10" s="412" t="n"/>
      <c r="DS10" s="412" t="n"/>
      <c r="DT10" s="412" t="n"/>
      <c r="DU10" s="412" t="n"/>
      <c r="DV10" s="412" t="n"/>
      <c r="DW10" s="412" t="n"/>
      <c r="DX10" s="412" t="n"/>
      <c r="DY10" s="412" t="n"/>
      <c r="DZ10" s="412" t="n"/>
      <c r="EA10" s="412" t="n"/>
      <c r="EB10" s="412" t="n"/>
      <c r="EC10" s="412" t="n"/>
      <c r="ED10" s="412" t="n"/>
      <c r="EE10" s="412" t="n"/>
      <c r="EF10" s="412" t="n"/>
      <c r="EG10" s="412" t="n"/>
      <c r="EH10" s="412" t="n"/>
      <c r="EI10" s="412" t="n"/>
      <c r="EJ10" s="412" t="n"/>
      <c r="EK10" s="412" t="n"/>
      <c r="EL10" s="412" t="n"/>
      <c r="EM10" s="412" t="n"/>
      <c r="EN10" s="412" t="n"/>
      <c r="EO10" s="412" t="n"/>
      <c r="EP10" s="412" t="n"/>
      <c r="EQ10" s="412" t="n"/>
      <c r="ER10" s="412" t="n"/>
      <c r="ES10" s="412" t="n"/>
      <c r="ET10" s="412" t="n"/>
      <c r="EU10" s="412" t="n"/>
      <c r="EV10" s="412" t="n"/>
      <c r="EW10" s="412" t="n"/>
      <c r="EX10" s="412" t="n"/>
      <c r="EY10" s="412" t="n"/>
      <c r="EZ10" s="412" t="n"/>
      <c r="FA10" s="412" t="n"/>
      <c r="FB10" s="412" t="n"/>
      <c r="FC10" s="412" t="n"/>
      <c r="FD10" s="412" t="n"/>
      <c r="FE10" s="412" t="n"/>
      <c r="FF10" s="412" t="n"/>
      <c r="FG10" s="412" t="n"/>
      <c r="FH10" s="412" t="n"/>
      <c r="FI10" s="412" t="n"/>
      <c r="FJ10" s="412" t="n"/>
      <c r="FK10" s="412" t="n"/>
      <c r="FL10" s="412" t="n"/>
      <c r="FM10" s="412" t="n"/>
      <c r="FN10" s="412" t="n"/>
      <c r="FO10" s="412" t="n"/>
      <c r="FP10" s="412" t="n"/>
      <c r="FQ10" s="412" t="n"/>
      <c r="FR10" s="412" t="n"/>
      <c r="FS10" s="412" t="n"/>
      <c r="FT10" s="412" t="n"/>
      <c r="FU10" s="412" t="n"/>
      <c r="FV10" s="412" t="n"/>
      <c r="FW10" s="412" t="n"/>
      <c r="FX10" s="412" t="n"/>
      <c r="FY10" s="412" t="n"/>
      <c r="FZ10" s="412" t="n"/>
      <c r="GA10" s="412" t="n"/>
      <c r="GB10" s="412" t="n"/>
      <c r="GC10" s="412" t="n"/>
      <c r="GD10" s="412" t="n"/>
      <c r="GE10" s="412" t="n"/>
      <c r="GF10" s="412" t="n"/>
      <c r="GG10" s="412" t="n"/>
      <c r="GH10" s="412" t="n"/>
      <c r="GI10" s="412" t="n"/>
      <c r="GJ10" s="412" t="n"/>
      <c r="GK10" s="412" t="n"/>
      <c r="GL10" s="412" t="n"/>
      <c r="GM10" s="412" t="n"/>
      <c r="GN10" s="412" t="n"/>
      <c r="GO10" s="412" t="n"/>
      <c r="GP10" s="412" t="n"/>
      <c r="GQ10" s="412" t="n"/>
      <c r="GR10" s="412" t="n"/>
      <c r="GS10" s="412" t="n"/>
      <c r="GT10" s="412" t="n"/>
      <c r="GU10" s="412" t="n"/>
      <c r="GV10" s="412" t="n"/>
      <c r="GW10" s="412" t="n"/>
      <c r="GX10" s="412" t="n"/>
      <c r="GY10" s="412" t="n"/>
      <c r="GZ10" s="412" t="n"/>
      <c r="HA10" s="412" t="n"/>
      <c r="HB10" s="412" t="n"/>
      <c r="HC10" s="412" t="n"/>
      <c r="HD10" s="412" t="n"/>
      <c r="HE10" s="412" t="n"/>
      <c r="HF10" s="412" t="n"/>
      <c r="HG10" s="412" t="n"/>
      <c r="HH10" s="412" t="n"/>
      <c r="HI10" s="412" t="n"/>
      <c r="HJ10" s="412" t="n"/>
      <c r="HK10" s="412" t="n"/>
      <c r="HL10" s="412" t="n"/>
      <c r="HM10" s="412" t="n"/>
      <c r="HN10" s="412" t="n"/>
      <c r="HO10" s="412" t="n"/>
      <c r="HP10" s="412" t="n"/>
      <c r="HQ10" s="412" t="n"/>
      <c r="HR10" s="412" t="n"/>
      <c r="HS10" s="412" t="n"/>
      <c r="HT10" s="412" t="n"/>
      <c r="HU10" s="412" t="n"/>
      <c r="HV10" s="412" t="n"/>
      <c r="HW10" s="412" t="n"/>
      <c r="HX10" s="412" t="n"/>
      <c r="HY10" s="412" t="n"/>
      <c r="HZ10" s="412" t="n"/>
      <c r="IA10" s="412" t="n"/>
      <c r="IB10" s="412" t="n"/>
      <c r="IC10" s="412" t="n"/>
      <c r="ID10" s="412" t="n"/>
      <c r="IE10" s="412" t="n"/>
      <c r="IF10" s="412" t="n"/>
      <c r="IG10" s="412" t="n"/>
      <c r="IH10" s="412" t="n"/>
      <c r="II10" s="412" t="n"/>
      <c r="IJ10" s="412" t="n"/>
      <c r="IK10" s="412" t="n"/>
      <c r="IL10" s="412" t="n"/>
      <c r="IM10" s="412" t="n"/>
      <c r="IN10" s="412" t="n"/>
      <c r="IO10" s="412" t="n"/>
      <c r="IP10" s="412" t="n"/>
      <c r="IQ10" s="412" t="n"/>
      <c r="IR10" s="412" t="n"/>
      <c r="IS10" s="412" t="n"/>
      <c r="IT10" s="412" t="n"/>
      <c r="IU10" s="412" t="n"/>
      <c r="IV10" s="412" t="n"/>
      <c r="IW10" s="412" t="n"/>
      <c r="IX10" s="412" t="n"/>
      <c r="IY10" s="412" t="n"/>
      <c r="IZ10" s="412" t="n"/>
      <c r="JA10" s="412" t="n"/>
      <c r="JB10" s="412" t="n"/>
      <c r="JC10" s="412" t="n"/>
      <c r="JD10" s="412" t="n"/>
      <c r="JE10" s="412" t="n"/>
      <c r="JF10" s="412" t="n"/>
      <c r="JG10" s="412" t="n"/>
      <c r="JH10" s="412" t="n"/>
      <c r="JI10" s="412" t="n"/>
      <c r="JJ10" s="412" t="n"/>
      <c r="JK10" s="412" t="n"/>
      <c r="JL10" s="412" t="n"/>
      <c r="JM10" s="412" t="n"/>
      <c r="JN10" s="412" t="n"/>
      <c r="JO10" s="412" t="n"/>
      <c r="JP10" s="412" t="n"/>
      <c r="JQ10" s="412" t="n"/>
      <c r="JR10" s="412" t="n"/>
      <c r="JS10" s="412" t="n"/>
      <c r="JT10" s="412" t="n"/>
      <c r="JU10" s="412" t="n"/>
      <c r="JV10" s="412" t="n"/>
      <c r="JW10" s="412" t="n"/>
      <c r="JX10" s="412" t="n"/>
      <c r="JY10" s="412" t="n"/>
      <c r="JZ10" s="412" t="n"/>
      <c r="KA10" s="412" t="n"/>
      <c r="KB10" s="412" t="n"/>
      <c r="KC10" s="412" t="n"/>
      <c r="KD10" s="412" t="n"/>
      <c r="KE10" s="412" t="n"/>
      <c r="KF10" s="412" t="n"/>
      <c r="KG10" s="412" t="n"/>
      <c r="KH10" s="412" t="n"/>
      <c r="KI10" s="412" t="n"/>
      <c r="KJ10" s="412" t="n"/>
      <c r="KK10" s="412" t="n"/>
      <c r="KL10" s="412" t="n"/>
      <c r="KM10" s="412" t="n"/>
      <c r="KN10" s="412" t="n"/>
      <c r="KO10" s="412" t="n"/>
      <c r="KP10" s="412" t="n"/>
      <c r="KQ10" s="412" t="n"/>
      <c r="KR10" s="412" t="n"/>
      <c r="KS10" s="412" t="n"/>
      <c r="KT10" s="412" t="n"/>
      <c r="KU10" s="412" t="n"/>
      <c r="KV10" s="412" t="n"/>
      <c r="KW10" s="412" t="n"/>
      <c r="KX10" s="412" t="n"/>
      <c r="KY10" s="412" t="n"/>
      <c r="KZ10" s="412" t="n"/>
      <c r="LA10" s="412" t="n"/>
      <c r="LB10" s="412" t="n"/>
      <c r="LC10" s="412" t="n"/>
      <c r="LD10" s="412" t="n"/>
      <c r="LE10" s="412" t="n"/>
      <c r="LF10" s="412" t="n"/>
      <c r="LG10" s="412" t="n"/>
      <c r="LH10" s="412" t="n"/>
      <c r="LI10" s="412" t="n"/>
      <c r="LJ10" s="412" t="n"/>
      <c r="LK10" s="412" t="n"/>
      <c r="LL10" s="412" t="n"/>
      <c r="LM10" s="412" t="n"/>
      <c r="LN10" s="412" t="n"/>
      <c r="LO10" s="412" t="n"/>
      <c r="LP10" s="412" t="n"/>
      <c r="LQ10" s="412" t="n"/>
      <c r="LR10" s="412" t="n"/>
      <c r="LS10" s="412" t="n"/>
      <c r="LT10" s="412" t="n"/>
      <c r="LU10" s="412" t="n"/>
      <c r="LV10" s="412" t="n"/>
      <c r="LW10" s="412" t="n"/>
      <c r="LX10" s="412" t="n"/>
      <c r="LY10" s="412" t="n"/>
      <c r="LZ10" s="412" t="n"/>
      <c r="MA10" s="412" t="n"/>
      <c r="MB10" s="412" t="n"/>
      <c r="MC10" s="412" t="n"/>
      <c r="MD10" s="412" t="n"/>
      <c r="ME10" s="412" t="n"/>
      <c r="MF10" s="412" t="n"/>
      <c r="MG10" s="412" t="n"/>
      <c r="MH10" s="412" t="n"/>
      <c r="MI10" s="412" t="n"/>
      <c r="MJ10" s="412" t="n"/>
      <c r="MK10" s="412" t="n"/>
      <c r="ML10" s="412" t="n"/>
      <c r="MM10" s="412" t="n"/>
      <c r="MN10" s="412" t="n"/>
      <c r="MO10" s="412" t="n"/>
      <c r="MP10" s="412" t="n"/>
      <c r="MQ10" s="412" t="n"/>
      <c r="MR10" s="412" t="n"/>
      <c r="MS10" s="412" t="n"/>
      <c r="MT10" s="412" t="n"/>
      <c r="MU10" s="412" t="n"/>
      <c r="MV10" s="412" t="n"/>
      <c r="MW10" s="412" t="n"/>
      <c r="MX10" s="412" t="n"/>
      <c r="MY10" s="412" t="n"/>
      <c r="MZ10" s="412" t="n"/>
      <c r="NA10" s="412" t="n"/>
      <c r="NB10" s="412" t="n"/>
      <c r="NC10" s="412" t="n"/>
      <c r="ND10" s="412" t="n"/>
      <c r="NE10" s="412" t="n"/>
      <c r="NF10" s="412" t="n"/>
      <c r="NG10" s="412" t="n"/>
      <c r="NH10" s="412" t="n"/>
      <c r="NI10" s="412" t="n"/>
      <c r="NJ10" s="412" t="n"/>
      <c r="NK10" s="412" t="n"/>
      <c r="NL10" s="412" t="n"/>
      <c r="NM10" s="412" t="n"/>
      <c r="NN10" s="412" t="n"/>
      <c r="NO10" s="412" t="n"/>
      <c r="NP10" s="412" t="n"/>
      <c r="NQ10" s="412" t="n"/>
      <c r="NR10" s="412" t="n"/>
      <c r="NS10" s="412" t="n"/>
      <c r="NT10" s="412" t="n"/>
      <c r="NU10" s="412" t="n"/>
      <c r="NV10" s="412" t="n"/>
      <c r="NW10" s="412" t="n"/>
      <c r="NX10" s="412" t="n"/>
      <c r="NY10" s="412" t="n"/>
      <c r="NZ10" s="412" t="n"/>
      <c r="OA10" s="412" t="n"/>
      <c r="OB10" s="412" t="n"/>
      <c r="OC10" s="412" t="n"/>
      <c r="OD10" s="412" t="n"/>
      <c r="OE10" s="412" t="n"/>
      <c r="OF10" s="412" t="n"/>
      <c r="OG10" s="412" t="n"/>
      <c r="OH10" s="412" t="n"/>
      <c r="OI10" s="412" t="n"/>
      <c r="OJ10" s="412" t="n"/>
      <c r="OK10" s="412" t="n"/>
      <c r="OL10" s="412" t="n"/>
      <c r="OM10" s="412" t="n"/>
      <c r="ON10" s="412" t="n"/>
      <c r="OO10" s="412" t="n"/>
      <c r="OP10" s="412" t="n"/>
      <c r="OQ10" s="412" t="n"/>
      <c r="OR10" s="412" t="n"/>
      <c r="OS10" s="412" t="n"/>
      <c r="OT10" s="412" t="n"/>
      <c r="OU10" s="412" t="n"/>
      <c r="OV10" s="412" t="n"/>
      <c r="OW10" s="412" t="n"/>
      <c r="OX10" s="412" t="n"/>
      <c r="OY10" s="412" t="n"/>
      <c r="OZ10" s="412" t="n"/>
      <c r="PA10" s="412" t="n"/>
      <c r="PB10" s="412" t="n"/>
      <c r="PC10" s="412" t="n"/>
      <c r="PD10" s="412" t="n"/>
      <c r="PE10" s="412" t="n"/>
      <c r="PF10" s="412" t="n"/>
      <c r="PG10" s="412" t="n"/>
      <c r="PH10" s="412" t="n"/>
      <c r="PI10" s="412" t="n"/>
      <c r="PJ10" s="412" t="n"/>
      <c r="PK10" s="412" t="n"/>
      <c r="PL10" s="412" t="n"/>
      <c r="PM10" s="412" t="n"/>
      <c r="PN10" s="412" t="n"/>
      <c r="PO10" s="412" t="n"/>
      <c r="PP10" s="412" t="n"/>
      <c r="PQ10" s="412" t="n"/>
      <c r="PR10" s="412" t="n"/>
      <c r="PS10" s="412" t="n"/>
      <c r="PT10" s="412" t="n"/>
      <c r="PU10" s="412" t="n"/>
      <c r="PV10" s="412" t="n"/>
      <c r="PW10" s="412" t="n"/>
      <c r="PX10" s="412" t="n"/>
      <c r="PY10" s="412" t="n"/>
      <c r="PZ10" s="412" t="n"/>
      <c r="QA10" s="412" t="n"/>
      <c r="QB10" s="412" t="n"/>
      <c r="QC10" s="412" t="n"/>
      <c r="QD10" s="412" t="n"/>
      <c r="QE10" s="412" t="n"/>
      <c r="QF10" s="412" t="n"/>
      <c r="QG10" s="412" t="n"/>
      <c r="QH10" s="412" t="n"/>
      <c r="QI10" s="412" t="n"/>
      <c r="QJ10" s="412" t="n"/>
      <c r="QK10" s="412" t="n"/>
      <c r="QL10" s="412" t="n"/>
      <c r="QM10" s="412" t="n"/>
      <c r="QN10" s="412" t="n"/>
      <c r="QO10" s="412" t="n"/>
      <c r="QP10" s="412" t="n"/>
      <c r="QQ10" s="412" t="n"/>
      <c r="QR10" s="412" t="n"/>
      <c r="QS10" s="412" t="n"/>
      <c r="QT10" s="412" t="n"/>
      <c r="QU10" s="412" t="n"/>
      <c r="QV10" s="412" t="n"/>
      <c r="QW10" s="412" t="n"/>
      <c r="QX10" s="412" t="n"/>
      <c r="QY10" s="412" t="n"/>
      <c r="QZ10" s="412" t="n"/>
      <c r="RA10" s="412" t="n"/>
      <c r="RB10" s="412" t="n"/>
      <c r="RC10" s="412" t="n"/>
      <c r="RD10" s="412" t="n"/>
      <c r="RE10" s="412" t="n"/>
      <c r="RF10" s="412" t="n"/>
      <c r="RG10" s="412" t="n"/>
      <c r="RH10" s="412" t="n"/>
      <c r="RI10" s="412" t="n"/>
      <c r="RJ10" s="412" t="n"/>
      <c r="RK10" s="412" t="n"/>
      <c r="RL10" s="412" t="n"/>
      <c r="RM10" s="412" t="n"/>
      <c r="RN10" s="412" t="n"/>
      <c r="RO10" s="412" t="n"/>
      <c r="RP10" s="412" t="n"/>
      <c r="RQ10" s="412" t="n"/>
      <c r="RR10" s="412" t="n"/>
      <c r="RS10" s="412" t="n"/>
      <c r="RT10" s="412" t="n"/>
      <c r="RU10" s="412" t="n"/>
      <c r="RV10" s="412" t="n"/>
      <c r="RW10" s="412" t="n"/>
      <c r="RX10" s="412" t="n"/>
      <c r="RY10" s="412" t="n"/>
      <c r="RZ10" s="412" t="n"/>
      <c r="SA10" s="412" t="n"/>
      <c r="SB10" s="412" t="n"/>
      <c r="SC10" s="412" t="n"/>
      <c r="SD10" s="412" t="n"/>
      <c r="SE10" s="412" t="n"/>
      <c r="SF10" s="412" t="n"/>
      <c r="SG10" s="412" t="n"/>
      <c r="SH10" s="412" t="n"/>
      <c r="SI10" s="412" t="n"/>
      <c r="SJ10" s="412" t="n"/>
      <c r="SK10" s="412" t="n"/>
      <c r="SL10" s="412" t="n"/>
      <c r="SM10" s="412" t="n"/>
      <c r="SN10" s="412" t="n"/>
      <c r="SO10" s="412" t="n"/>
      <c r="SP10" s="412" t="n"/>
      <c r="SQ10" s="412" t="n"/>
      <c r="SR10" s="412" t="n"/>
      <c r="SS10" s="412" t="n"/>
      <c r="ST10" s="412" t="n"/>
      <c r="SU10" s="412" t="n"/>
      <c r="SV10" s="412" t="n"/>
      <c r="SW10" s="412" t="n"/>
      <c r="SX10" s="412" t="n"/>
      <c r="SY10" s="412" t="n"/>
      <c r="SZ10" s="412" t="n"/>
      <c r="TA10" s="412" t="n"/>
      <c r="TB10" s="412" t="n"/>
      <c r="TC10" s="412" t="n"/>
      <c r="TD10" s="412" t="n"/>
      <c r="TE10" s="412" t="n"/>
      <c r="TF10" s="412" t="n"/>
      <c r="TG10" s="412" t="n"/>
      <c r="TH10" s="412" t="n"/>
      <c r="TI10" s="412" t="n"/>
      <c r="TJ10" s="412" t="n"/>
      <c r="TK10" s="412" t="n"/>
      <c r="TL10" s="412" t="n"/>
      <c r="TM10" s="412" t="n"/>
      <c r="TN10" s="412" t="n"/>
      <c r="TO10" s="412" t="n"/>
      <c r="TP10" s="412" t="n"/>
      <c r="TQ10" s="412" t="n"/>
      <c r="TR10" s="412" t="n"/>
      <c r="TS10" s="412" t="n"/>
      <c r="TT10" s="412" t="n"/>
      <c r="TU10" s="412" t="n"/>
      <c r="TV10" s="412" t="n"/>
      <c r="TW10" s="412" t="n"/>
      <c r="TX10" s="412" t="n"/>
      <c r="TY10" s="412" t="n"/>
      <c r="TZ10" s="412" t="n"/>
      <c r="UA10" s="412" t="n"/>
      <c r="UB10" s="412" t="n"/>
      <c r="UC10" s="412" t="n"/>
      <c r="UD10" s="412" t="n"/>
      <c r="UE10" s="412" t="n"/>
      <c r="UF10" s="412" t="n"/>
      <c r="UG10" s="412" t="n"/>
      <c r="UH10" s="412" t="n"/>
      <c r="UI10" s="412" t="n"/>
      <c r="UJ10" s="412" t="n"/>
      <c r="UK10" s="412" t="n"/>
      <c r="UL10" s="412" t="n"/>
      <c r="UM10" s="412" t="n"/>
      <c r="UN10" s="412" t="n"/>
      <c r="UO10" s="412" t="n"/>
      <c r="UP10" s="412" t="n"/>
      <c r="UQ10" s="412" t="n"/>
      <c r="UR10" s="412" t="n"/>
      <c r="US10" s="412" t="n"/>
      <c r="UT10" s="412" t="n"/>
      <c r="UU10" s="412" t="n"/>
      <c r="UV10" s="412" t="n"/>
      <c r="UW10" s="412" t="n"/>
      <c r="UX10" s="412" t="n"/>
      <c r="UY10" s="412" t="n"/>
      <c r="UZ10" s="412" t="n"/>
      <c r="VA10" s="412" t="n"/>
      <c r="VB10" s="412" t="n"/>
      <c r="VC10" s="412" t="n"/>
      <c r="VD10" s="412" t="n"/>
      <c r="VE10" s="412" t="n"/>
      <c r="VF10" s="412" t="n"/>
      <c r="VG10" s="412" t="n"/>
      <c r="VH10" s="412" t="n"/>
      <c r="VI10" s="412" t="n"/>
      <c r="VJ10" s="412" t="n"/>
      <c r="VK10" s="412" t="n"/>
      <c r="VL10" s="412" t="n"/>
      <c r="VM10" s="412" t="n"/>
      <c r="VN10" s="412" t="n"/>
      <c r="VO10" s="412" t="n"/>
      <c r="VP10" s="412" t="n"/>
      <c r="VQ10" s="412" t="n"/>
      <c r="VR10" s="412" t="n"/>
      <c r="VS10" s="412" t="n"/>
      <c r="VT10" s="412" t="n"/>
      <c r="VU10" s="412" t="n"/>
      <c r="VV10" s="412" t="n"/>
      <c r="VW10" s="412" t="n"/>
      <c r="VX10" s="412" t="n"/>
      <c r="VY10" s="412" t="n"/>
      <c r="VZ10" s="412" t="n"/>
      <c r="WA10" s="412" t="n"/>
      <c r="WB10" s="412" t="n"/>
      <c r="WC10" s="412" t="n"/>
      <c r="WD10" s="412" t="n"/>
      <c r="WE10" s="412" t="n"/>
      <c r="WF10" s="412" t="n"/>
      <c r="WG10" s="412" t="n"/>
      <c r="WH10" s="412" t="n"/>
      <c r="WI10" s="412" t="n"/>
      <c r="WJ10" s="412" t="n"/>
      <c r="WK10" s="412" t="n"/>
      <c r="WL10" s="412" t="n"/>
      <c r="WM10" s="412" t="n"/>
      <c r="WN10" s="412" t="n"/>
      <c r="WO10" s="412" t="n"/>
      <c r="WP10" s="412" t="n"/>
      <c r="WQ10" s="412" t="n"/>
      <c r="WR10" s="412" t="n"/>
      <c r="WS10" s="412" t="n"/>
      <c r="WT10" s="412" t="n"/>
      <c r="WU10" s="412" t="n"/>
      <c r="WV10" s="412" t="n"/>
      <c r="WW10" s="412" t="n"/>
      <c r="WX10" s="412" t="n"/>
      <c r="WY10" s="412" t="n"/>
      <c r="WZ10" s="412" t="n"/>
      <c r="XA10" s="412" t="n"/>
      <c r="XB10" s="412" t="n"/>
      <c r="XC10" s="412" t="n"/>
      <c r="XD10" s="412" t="n"/>
      <c r="XE10" s="412" t="n"/>
      <c r="XF10" s="412" t="n"/>
      <c r="XG10" s="412" t="n"/>
      <c r="XH10" s="412" t="n"/>
      <c r="XI10" s="412" t="n"/>
      <c r="XJ10" s="412" t="n"/>
      <c r="XK10" s="412" t="n"/>
      <c r="XL10" s="412" t="n"/>
      <c r="XM10" s="412" t="n"/>
      <c r="XN10" s="412" t="n"/>
      <c r="XO10" s="412" t="n"/>
      <c r="XP10" s="412" t="n"/>
      <c r="XQ10" s="412" t="n"/>
      <c r="XR10" s="412" t="n"/>
      <c r="XS10" s="412" t="n"/>
      <c r="XT10" s="412" t="n"/>
      <c r="XU10" s="412" t="n"/>
      <c r="XV10" s="412" t="n"/>
      <c r="XW10" s="412" t="n"/>
      <c r="XX10" s="412" t="n"/>
      <c r="XY10" s="412" t="n"/>
      <c r="XZ10" s="412" t="n"/>
      <c r="YA10" s="412" t="n"/>
      <c r="YB10" s="412" t="n"/>
      <c r="YC10" s="412" t="n"/>
      <c r="YD10" s="412" t="n"/>
      <c r="YE10" s="412" t="n"/>
      <c r="YF10" s="412" t="n"/>
      <c r="YG10" s="412" t="n"/>
      <c r="YH10" s="412" t="n"/>
      <c r="YI10" s="412" t="n"/>
      <c r="YJ10" s="412" t="n"/>
      <c r="YK10" s="412" t="n"/>
      <c r="YL10" s="412" t="n"/>
      <c r="YM10" s="412" t="n"/>
      <c r="YN10" s="412" t="n"/>
      <c r="YO10" s="412" t="n"/>
      <c r="YP10" s="412" t="n"/>
      <c r="YQ10" s="412" t="n"/>
      <c r="YR10" s="412" t="n"/>
      <c r="YS10" s="412" t="n"/>
      <c r="YT10" s="412" t="n"/>
      <c r="YU10" s="412" t="n"/>
      <c r="YV10" s="412" t="n"/>
      <c r="YW10" s="412" t="n"/>
      <c r="YX10" s="412" t="n"/>
      <c r="YY10" s="412" t="n"/>
      <c r="YZ10" s="412" t="n"/>
      <c r="ZA10" s="412" t="n"/>
      <c r="ZB10" s="412" t="n"/>
      <c r="ZC10" s="412" t="n"/>
      <c r="ZD10" s="412" t="n"/>
      <c r="ZE10" s="412" t="n"/>
      <c r="ZF10" s="412" t="n"/>
      <c r="ZG10" s="412" t="n"/>
      <c r="ZH10" s="412" t="n"/>
      <c r="ZI10" s="412" t="n"/>
      <c r="ZJ10" s="412" t="n"/>
      <c r="ZK10" s="412" t="n"/>
      <c r="ZL10" s="412" t="n"/>
      <c r="ZM10" s="412" t="n"/>
      <c r="ZN10" s="412" t="n"/>
      <c r="ZO10" s="412" t="n"/>
      <c r="ZP10" s="412" t="n"/>
      <c r="ZQ10" s="412" t="n"/>
      <c r="ZR10" s="412" t="n"/>
      <c r="ZS10" s="412" t="n"/>
      <c r="ZT10" s="412" t="n"/>
      <c r="ZU10" s="412" t="n"/>
      <c r="ZV10" s="412" t="n"/>
      <c r="ZW10" s="412" t="n"/>
      <c r="ZX10" s="412" t="n"/>
      <c r="ZY10" s="412" t="n"/>
      <c r="ZZ10" s="412" t="n"/>
      <c r="AAA10" s="412" t="n"/>
      <c r="AAB10" s="412" t="n"/>
      <c r="AAC10" s="412" t="n"/>
      <c r="AAD10" s="412" t="n"/>
      <c r="AAE10" s="412" t="n"/>
      <c r="AAF10" s="412" t="n"/>
      <c r="AAG10" s="412" t="n"/>
      <c r="AAH10" s="412" t="n"/>
      <c r="AAI10" s="412" t="n"/>
      <c r="AAJ10" s="412" t="n"/>
      <c r="AAK10" s="412" t="n"/>
      <c r="AAL10" s="412" t="n"/>
      <c r="AAM10" s="412" t="n"/>
      <c r="AAN10" s="412" t="n"/>
      <c r="AAO10" s="412" t="n"/>
      <c r="AAP10" s="412" t="n"/>
      <c r="AAQ10" s="412" t="n"/>
      <c r="AAR10" s="412" t="n"/>
      <c r="AAS10" s="412" t="n"/>
      <c r="AAT10" s="412" t="n"/>
      <c r="AAU10" s="412" t="n"/>
      <c r="AAV10" s="412" t="n"/>
      <c r="AAW10" s="412" t="n"/>
      <c r="AAX10" s="412" t="n"/>
      <c r="AAY10" s="412" t="n"/>
      <c r="AAZ10" s="412" t="n"/>
      <c r="ABA10" s="412" t="n"/>
      <c r="ABB10" s="412" t="n"/>
      <c r="ABC10" s="412" t="n"/>
      <c r="ABD10" s="412" t="n"/>
      <c r="ABE10" s="412" t="n"/>
      <c r="ABF10" s="412" t="n"/>
      <c r="ABG10" s="412" t="n"/>
      <c r="ABH10" s="412" t="n"/>
      <c r="ABI10" s="412" t="n"/>
      <c r="ABJ10" s="412" t="n"/>
      <c r="ABK10" s="412" t="n"/>
      <c r="ABL10" s="412" t="n"/>
      <c r="ABM10" s="412" t="n"/>
      <c r="ABN10" s="412" t="n"/>
      <c r="ABO10" s="412" t="n"/>
      <c r="ABP10" s="412" t="n"/>
      <c r="ABQ10" s="412" t="n"/>
      <c r="ABR10" s="412" t="n"/>
      <c r="ABS10" s="412" t="n"/>
      <c r="ABT10" s="412" t="n"/>
      <c r="ABU10" s="412" t="n"/>
      <c r="ABV10" s="412" t="n"/>
      <c r="ABW10" s="412" t="n"/>
      <c r="ABX10" s="412" t="n"/>
      <c r="ABY10" s="412" t="n"/>
      <c r="ABZ10" s="412" t="n"/>
      <c r="ACA10" s="412" t="n"/>
      <c r="ACB10" s="412" t="n"/>
      <c r="ACC10" s="412" t="n"/>
      <c r="ACD10" s="412" t="n"/>
      <c r="ACE10" s="412" t="n"/>
      <c r="ACF10" s="412" t="n"/>
      <c r="ACG10" s="412" t="n"/>
      <c r="ACH10" s="412" t="n"/>
      <c r="ACI10" s="412" t="n"/>
      <c r="ACJ10" s="412" t="n"/>
      <c r="ACK10" s="412" t="n"/>
      <c r="ACL10" s="412" t="n"/>
      <c r="ACM10" s="412" t="n"/>
      <c r="ACN10" s="412" t="n"/>
      <c r="ACO10" s="412" t="n"/>
      <c r="ACP10" s="412" t="n"/>
      <c r="ACQ10" s="412" t="n"/>
      <c r="ACR10" s="412" t="n"/>
      <c r="ACS10" s="412" t="n"/>
      <c r="ACT10" s="412" t="n"/>
      <c r="ACU10" s="412" t="n"/>
      <c r="ACV10" s="412" t="n"/>
      <c r="ACW10" s="412" t="n"/>
      <c r="ACX10" s="412" t="n"/>
      <c r="ACY10" s="412" t="n"/>
      <c r="ACZ10" s="412" t="n"/>
      <c r="ADA10" s="412" t="n"/>
      <c r="ADB10" s="412" t="n"/>
      <c r="ADC10" s="412" t="n"/>
      <c r="ADD10" s="412" t="n"/>
      <c r="ADE10" s="412" t="n"/>
      <c r="ADF10" s="412" t="n"/>
      <c r="ADG10" s="412" t="n"/>
      <c r="ADH10" s="412" t="n"/>
      <c r="ADI10" s="412" t="n"/>
      <c r="ADJ10" s="412" t="n"/>
      <c r="ADK10" s="412" t="n"/>
      <c r="ADL10" s="412" t="n"/>
      <c r="ADM10" s="412" t="n"/>
      <c r="ADN10" s="412" t="n"/>
      <c r="ADO10" s="412" t="n"/>
      <c r="ADP10" s="412" t="n"/>
      <c r="ADQ10" s="412" t="n"/>
      <c r="ADR10" s="412" t="n"/>
      <c r="ADS10" s="412" t="n"/>
      <c r="ADT10" s="412" t="n"/>
      <c r="ADU10" s="412" t="n"/>
      <c r="ADV10" s="412" t="n"/>
      <c r="ADW10" s="412" t="n"/>
      <c r="ADX10" s="412" t="n"/>
      <c r="ADY10" s="412" t="n"/>
      <c r="ADZ10" s="412" t="n"/>
      <c r="AEA10" s="412" t="n"/>
      <c r="AEB10" s="412" t="n"/>
      <c r="AEC10" s="412" t="n"/>
      <c r="AED10" s="412" t="n"/>
      <c r="AEE10" s="412" t="n"/>
      <c r="AEF10" s="412" t="n"/>
      <c r="AEG10" s="412" t="n"/>
      <c r="AEH10" s="412" t="n"/>
      <c r="AEI10" s="412" t="n"/>
      <c r="AEJ10" s="412" t="n"/>
      <c r="AEK10" s="412" t="n"/>
      <c r="AEL10" s="412" t="n"/>
      <c r="AEM10" s="412" t="n"/>
      <c r="AEN10" s="412" t="n"/>
      <c r="AEO10" s="412" t="n"/>
      <c r="AEP10" s="412" t="n"/>
      <c r="AEQ10" s="412" t="n"/>
      <c r="AER10" s="412" t="n"/>
      <c r="AES10" s="412" t="n"/>
      <c r="AET10" s="412" t="n"/>
      <c r="AEU10" s="412" t="n"/>
      <c r="AEV10" s="412" t="n"/>
      <c r="AEW10" s="412" t="n"/>
      <c r="AEX10" s="412" t="n"/>
      <c r="AEY10" s="412" t="n"/>
      <c r="AEZ10" s="412" t="n"/>
      <c r="AFA10" s="412" t="n"/>
      <c r="AFB10" s="412" t="n"/>
      <c r="AFC10" s="412" t="n"/>
      <c r="AFD10" s="412" t="n"/>
      <c r="AFE10" s="412" t="n"/>
      <c r="AFF10" s="412" t="n"/>
      <c r="AFG10" s="412" t="n"/>
      <c r="AFH10" s="412" t="n"/>
      <c r="AFI10" s="412" t="n"/>
      <c r="AFJ10" s="412" t="n"/>
      <c r="AFK10" s="412" t="n"/>
      <c r="AFL10" s="412" t="n"/>
      <c r="AFM10" s="412" t="n"/>
      <c r="AFN10" s="412" t="n"/>
      <c r="AFO10" s="412" t="n"/>
      <c r="AFP10" s="412" t="n"/>
      <c r="AFQ10" s="412" t="n"/>
      <c r="AFR10" s="412" t="n"/>
      <c r="AFS10" s="412" t="n"/>
      <c r="AFT10" s="412" t="n"/>
      <c r="AFU10" s="412" t="n"/>
      <c r="AFV10" s="412" t="n"/>
      <c r="AFW10" s="412" t="n"/>
      <c r="AFX10" s="412" t="n"/>
      <c r="AFY10" s="412" t="n"/>
      <c r="AFZ10" s="412" t="n"/>
      <c r="AGA10" s="412" t="n"/>
      <c r="AGB10" s="412" t="n"/>
      <c r="AGC10" s="412" t="n"/>
      <c r="AGD10" s="412" t="n"/>
      <c r="AGE10" s="412" t="n"/>
      <c r="AGF10" s="412" t="n"/>
      <c r="AGG10" s="412" t="n"/>
      <c r="AGH10" s="412" t="n"/>
      <c r="AGI10" s="412" t="n"/>
      <c r="AGJ10" s="412" t="n"/>
      <c r="AGK10" s="412" t="n"/>
      <c r="AGL10" s="412" t="n"/>
      <c r="AGM10" s="412" t="n"/>
      <c r="AGN10" s="412" t="n"/>
      <c r="AGO10" s="412" t="n"/>
      <c r="AGP10" s="412" t="n"/>
      <c r="AGQ10" s="412" t="n"/>
      <c r="AGR10" s="412" t="n"/>
      <c r="AGS10" s="412" t="n"/>
      <c r="AGT10" s="412" t="n"/>
      <c r="AGU10" s="412" t="n"/>
      <c r="AGV10" s="412" t="n"/>
      <c r="AGW10" s="412" t="n"/>
      <c r="AGX10" s="412" t="n"/>
      <c r="AGY10" s="412" t="n"/>
      <c r="AGZ10" s="412" t="n"/>
      <c r="AHA10" s="412" t="n"/>
      <c r="AHB10" s="412" t="n"/>
      <c r="AHC10" s="412" t="n"/>
      <c r="AHD10" s="412" t="n"/>
      <c r="AHE10" s="412" t="n"/>
      <c r="AHF10" s="412" t="n"/>
      <c r="AHG10" s="412" t="n"/>
      <c r="AHH10" s="412" t="n"/>
      <c r="AHI10" s="412" t="n"/>
      <c r="AHJ10" s="412" t="n"/>
      <c r="AHK10" s="412" t="n"/>
      <c r="AHL10" s="412" t="n"/>
      <c r="AHM10" s="412" t="n"/>
      <c r="AHN10" s="412" t="n"/>
      <c r="AHO10" s="412" t="n"/>
      <c r="AHP10" s="412" t="n"/>
      <c r="AHQ10" s="412" t="n"/>
      <c r="AHR10" s="412" t="n"/>
      <c r="AHS10" s="412" t="n"/>
      <c r="AHT10" s="412" t="n"/>
      <c r="AHU10" s="412" t="n"/>
      <c r="AHV10" s="412" t="n"/>
      <c r="AHW10" s="412" t="n"/>
      <c r="AHX10" s="412" t="n"/>
      <c r="AHY10" s="412" t="n"/>
      <c r="AHZ10" s="412" t="n"/>
      <c r="AIA10" s="412" t="n"/>
      <c r="AIB10" s="412" t="n"/>
      <c r="AIC10" s="412" t="n"/>
      <c r="AID10" s="412" t="n"/>
      <c r="AIE10" s="412" t="n"/>
      <c r="AIF10" s="412" t="n"/>
      <c r="AIG10" s="412" t="n"/>
      <c r="AIH10" s="412" t="n"/>
      <c r="AII10" s="412" t="n"/>
      <c r="AIJ10" s="412" t="n"/>
      <c r="AIK10" s="412" t="n"/>
      <c r="AIL10" s="412" t="n"/>
      <c r="AIM10" s="412" t="n"/>
      <c r="AIN10" s="412" t="n"/>
      <c r="AIO10" s="412" t="n"/>
      <c r="AIP10" s="412" t="n"/>
      <c r="AIQ10" s="412" t="n"/>
      <c r="AIR10" s="412" t="n"/>
      <c r="AIS10" s="412" t="n"/>
      <c r="AIT10" s="412" t="n"/>
      <c r="AIU10" s="412" t="n"/>
      <c r="AIV10" s="412" t="n"/>
      <c r="AIW10" s="412" t="n"/>
      <c r="AIX10" s="412" t="n"/>
      <c r="AIY10" s="412" t="n"/>
      <c r="AIZ10" s="412" t="n"/>
      <c r="AJA10" s="412" t="n"/>
      <c r="AJB10" s="412" t="n"/>
      <c r="AJC10" s="412" t="n"/>
      <c r="AJD10" s="412" t="n"/>
      <c r="AJE10" s="412" t="n"/>
      <c r="AJF10" s="412" t="n"/>
      <c r="AJG10" s="412" t="n"/>
      <c r="AJH10" s="412" t="n"/>
      <c r="AJI10" s="412" t="n"/>
      <c r="AJJ10" s="412" t="n"/>
      <c r="AJK10" s="412" t="n"/>
      <c r="AJL10" s="412" t="n"/>
      <c r="AJM10" s="412" t="n"/>
      <c r="AJN10" s="412" t="n"/>
      <c r="AJO10" s="412" t="n"/>
      <c r="AJP10" s="412" t="n"/>
      <c r="AJQ10" s="412" t="n"/>
      <c r="AJR10" s="412" t="n"/>
      <c r="AJS10" s="412" t="n"/>
      <c r="AJT10" s="412" t="n"/>
      <c r="AJU10" s="412" t="n"/>
      <c r="AJV10" s="412" t="n"/>
      <c r="AJW10" s="412" t="n"/>
      <c r="AJX10" s="412" t="n"/>
      <c r="AJY10" s="412" t="n"/>
      <c r="AJZ10" s="412" t="n"/>
      <c r="AKA10" s="412" t="n"/>
      <c r="AKB10" s="412" t="n"/>
      <c r="AKC10" s="412" t="n"/>
      <c r="AKD10" s="412" t="n"/>
      <c r="AKE10" s="412" t="n"/>
      <c r="AKF10" s="412" t="n"/>
      <c r="AKG10" s="412" t="n"/>
      <c r="AKH10" s="412" t="n"/>
      <c r="AKI10" s="412" t="n"/>
      <c r="AKJ10" s="412" t="n"/>
      <c r="AKK10" s="412" t="n"/>
      <c r="AKL10" s="412" t="n"/>
      <c r="AKM10" s="412" t="n"/>
      <c r="AKN10" s="412" t="n"/>
      <c r="AKO10" s="412" t="n"/>
      <c r="AKP10" s="412" t="n"/>
      <c r="AKQ10" s="412" t="n"/>
      <c r="AKR10" s="412" t="n"/>
      <c r="AKS10" s="412" t="n"/>
      <c r="AKT10" s="412" t="n"/>
      <c r="AKU10" s="412" t="n"/>
      <c r="AKV10" s="412" t="n"/>
      <c r="AKW10" s="412" t="n"/>
      <c r="AKX10" s="412" t="n"/>
      <c r="AKY10" s="412" t="n"/>
      <c r="AKZ10" s="412" t="n"/>
      <c r="ALA10" s="412" t="n"/>
      <c r="ALB10" s="412" t="n"/>
      <c r="ALC10" s="412" t="n"/>
      <c r="ALD10" s="412" t="n"/>
      <c r="ALE10" s="412" t="n"/>
      <c r="ALF10" s="412" t="n"/>
      <c r="ALG10" s="412" t="n"/>
      <c r="ALH10" s="412" t="n"/>
      <c r="ALI10" s="412" t="n"/>
      <c r="ALJ10" s="412" t="n"/>
      <c r="ALK10" s="412" t="n"/>
      <c r="ALL10" s="412" t="n"/>
      <c r="ALM10" s="412" t="n"/>
      <c r="ALN10" s="412" t="n"/>
      <c r="ALO10" s="412" t="n"/>
      <c r="ALP10" s="412" t="n"/>
      <c r="ALQ10" s="412" t="n"/>
      <c r="ALR10" s="412" t="n"/>
      <c r="ALS10" s="412" t="n"/>
      <c r="ALT10" s="412" t="n"/>
      <c r="ALU10" s="412" t="n"/>
      <c r="ALV10" s="412" t="n"/>
      <c r="ALW10" s="412" t="n"/>
      <c r="ALX10" s="412" t="n"/>
      <c r="ALY10" s="412" t="n"/>
      <c r="ALZ10" s="412" t="n"/>
      <c r="AMA10" s="412" t="n"/>
      <c r="AMB10" s="412" t="n"/>
      <c r="AMC10" s="412" t="n"/>
      <c r="AMD10" s="412" t="n"/>
      <c r="AME10" s="412" t="n"/>
      <c r="AMF10" s="422" t="n"/>
      <c r="AMG10" s="422" t="n"/>
    </row>
    <row r="11" ht="56.25" customFormat="1" customHeight="1" s="425">
      <c r="A11" s="896" t="n"/>
      <c r="B11" s="896" t="n"/>
      <c r="C11" s="423" t="inlineStr">
        <is>
          <t>Financement d'entreprise</t>
        </is>
      </c>
      <c r="D11" s="423" t="inlineStr">
        <is>
          <t>Activités de marché</t>
        </is>
      </c>
      <c r="E11" s="423" t="inlineStr">
        <is>
          <t>Banque de détail</t>
        </is>
      </c>
      <c r="F11" s="423" t="inlineStr">
        <is>
          <t>Banque Commerciale</t>
        </is>
      </c>
      <c r="G11" s="423" t="inlineStr">
        <is>
          <t>Paiements et règlements</t>
        </is>
      </c>
      <c r="H11" s="423" t="inlineStr">
        <is>
          <t>Fonctions d'agent</t>
        </is>
      </c>
      <c r="I11" s="423" t="inlineStr">
        <is>
          <t>Gestion d'actifs</t>
        </is>
      </c>
      <c r="J11" s="424" t="inlineStr">
        <is>
          <t>Courtage de détail</t>
        </is>
      </c>
      <c r="K11" s="896" t="n"/>
      <c r="M11" s="426" t="n"/>
      <c r="N11" s="426" t="n"/>
      <c r="O11" s="426" t="n"/>
      <c r="P11" s="426" t="n"/>
      <c r="Q11" s="426" t="n"/>
      <c r="R11" s="426" t="n"/>
      <c r="S11" s="426" t="n"/>
      <c r="T11" s="426" t="n"/>
      <c r="U11" s="426" t="n"/>
      <c r="V11" s="426" t="n"/>
      <c r="W11" s="426" t="n"/>
      <c r="X11" s="426" t="n"/>
      <c r="Y11" s="426" t="n"/>
      <c r="Z11" s="426" t="n"/>
      <c r="AA11" s="426" t="n"/>
      <c r="AB11" s="426" t="n"/>
      <c r="AC11" s="426" t="n"/>
      <c r="AD11" s="426" t="n"/>
      <c r="AE11" s="426" t="n"/>
      <c r="AF11" s="426" t="n"/>
      <c r="AG11" s="426" t="n"/>
      <c r="AH11" s="426" t="n"/>
      <c r="AI11" s="426" t="n"/>
      <c r="AJ11" s="426" t="n"/>
      <c r="AK11" s="426" t="n"/>
      <c r="AL11" s="426" t="n"/>
      <c r="AM11" s="426" t="n"/>
      <c r="AN11" s="426" t="n"/>
      <c r="AO11" s="426" t="n"/>
      <c r="AP11" s="426" t="n"/>
      <c r="AQ11" s="426" t="n"/>
      <c r="AR11" s="426" t="n"/>
      <c r="AS11" s="426" t="n"/>
      <c r="AT11" s="426" t="n"/>
      <c r="AU11" s="426" t="n"/>
      <c r="AV11" s="426" t="n"/>
      <c r="AW11" s="426" t="n"/>
      <c r="AX11" s="426" t="n"/>
      <c r="AY11" s="426" t="n"/>
      <c r="AZ11" s="426" t="n"/>
      <c r="BA11" s="426" t="n"/>
      <c r="BB11" s="426" t="n"/>
      <c r="BC11" s="426" t="n"/>
      <c r="BD11" s="426" t="n"/>
      <c r="BE11" s="426" t="n"/>
      <c r="BF11" s="426" t="n"/>
      <c r="BG11" s="426" t="n"/>
      <c r="BH11" s="426" t="n"/>
      <c r="BI11" s="426" t="n"/>
      <c r="BJ11" s="426" t="n"/>
      <c r="BK11" s="426" t="n"/>
      <c r="BL11" s="426" t="n"/>
      <c r="BM11" s="426" t="n"/>
      <c r="BN11" s="426" t="n"/>
      <c r="BO11" s="426" t="n"/>
      <c r="BP11" s="426" t="n"/>
      <c r="BQ11" s="426" t="n"/>
      <c r="BR11" s="426" t="n"/>
      <c r="BS11" s="426" t="n"/>
      <c r="BT11" s="426" t="n"/>
      <c r="BU11" s="426" t="n"/>
      <c r="BV11" s="426" t="n"/>
      <c r="BW11" s="426" t="n"/>
      <c r="BX11" s="426" t="n"/>
      <c r="BY11" s="426" t="n"/>
      <c r="BZ11" s="426" t="n"/>
      <c r="CA11" s="426" t="n"/>
      <c r="CB11" s="426" t="n"/>
      <c r="CC11" s="426" t="n"/>
      <c r="CD11" s="426" t="n"/>
      <c r="CE11" s="426" t="n"/>
      <c r="CF11" s="426" t="n"/>
      <c r="CG11" s="426" t="n"/>
      <c r="CH11" s="426" t="n"/>
      <c r="CI11" s="426" t="n"/>
      <c r="CJ11" s="426" t="n"/>
      <c r="CK11" s="426" t="n"/>
      <c r="CL11" s="426" t="n"/>
      <c r="CM11" s="426" t="n"/>
      <c r="CN11" s="426" t="n"/>
      <c r="CO11" s="426" t="n"/>
      <c r="CP11" s="426" t="n"/>
      <c r="CQ11" s="426" t="n"/>
      <c r="CR11" s="426" t="n"/>
      <c r="CS11" s="426" t="n"/>
      <c r="CT11" s="426" t="n"/>
      <c r="CU11" s="426" t="n"/>
      <c r="CV11" s="426" t="n"/>
      <c r="CW11" s="426" t="n"/>
      <c r="CX11" s="426" t="n"/>
      <c r="CY11" s="426" t="n"/>
      <c r="CZ11" s="426" t="n"/>
      <c r="DA11" s="426" t="n"/>
      <c r="DB11" s="426" t="n"/>
      <c r="DC11" s="426" t="n"/>
      <c r="DD11" s="426" t="n"/>
      <c r="DE11" s="426" t="n"/>
      <c r="DF11" s="426" t="n"/>
      <c r="DG11" s="426" t="n"/>
      <c r="DH11" s="426" t="n"/>
      <c r="DI11" s="426" t="n"/>
      <c r="DJ11" s="426" t="n"/>
      <c r="DK11" s="426" t="n"/>
      <c r="DL11" s="426" t="n"/>
      <c r="DM11" s="426" t="n"/>
      <c r="DN11" s="426" t="n"/>
      <c r="DO11" s="426" t="n"/>
      <c r="DP11" s="426" t="n"/>
      <c r="DQ11" s="426" t="n"/>
      <c r="DR11" s="426" t="n"/>
      <c r="DS11" s="426" t="n"/>
      <c r="DT11" s="426" t="n"/>
      <c r="DU11" s="426" t="n"/>
      <c r="DV11" s="426" t="n"/>
      <c r="DW11" s="426" t="n"/>
      <c r="DX11" s="426" t="n"/>
      <c r="DY11" s="426" t="n"/>
      <c r="DZ11" s="426" t="n"/>
      <c r="EA11" s="426" t="n"/>
      <c r="EB11" s="426" t="n"/>
      <c r="EC11" s="426" t="n"/>
      <c r="ED11" s="426" t="n"/>
      <c r="EE11" s="426" t="n"/>
      <c r="EF11" s="426" t="n"/>
      <c r="EG11" s="426" t="n"/>
      <c r="EH11" s="426" t="n"/>
      <c r="EI11" s="426" t="n"/>
      <c r="EJ11" s="426" t="n"/>
      <c r="EK11" s="426" t="n"/>
      <c r="EL11" s="426" t="n"/>
      <c r="EM11" s="426" t="n"/>
      <c r="EN11" s="426" t="n"/>
      <c r="EO11" s="426" t="n"/>
      <c r="EP11" s="426" t="n"/>
      <c r="EQ11" s="426" t="n"/>
      <c r="ER11" s="426" t="n"/>
      <c r="ES11" s="426" t="n"/>
      <c r="ET11" s="426" t="n"/>
      <c r="EU11" s="426" t="n"/>
      <c r="EV11" s="426" t="n"/>
      <c r="EW11" s="426" t="n"/>
      <c r="EX11" s="426" t="n"/>
      <c r="EY11" s="426" t="n"/>
      <c r="EZ11" s="426" t="n"/>
      <c r="FA11" s="426" t="n"/>
      <c r="FB11" s="426" t="n"/>
      <c r="FC11" s="426" t="n"/>
      <c r="FD11" s="426" t="n"/>
      <c r="FE11" s="426" t="n"/>
      <c r="FF11" s="426" t="n"/>
      <c r="FG11" s="426" t="n"/>
      <c r="FH11" s="426" t="n"/>
      <c r="FI11" s="426" t="n"/>
      <c r="FJ11" s="426" t="n"/>
      <c r="FK11" s="426" t="n"/>
      <c r="FL11" s="426" t="n"/>
      <c r="FM11" s="426" t="n"/>
      <c r="FN11" s="426" t="n"/>
      <c r="FO11" s="426" t="n"/>
      <c r="FP11" s="426" t="n"/>
      <c r="FQ11" s="426" t="n"/>
      <c r="FR11" s="426" t="n"/>
      <c r="FS11" s="426" t="n"/>
      <c r="FT11" s="426" t="n"/>
      <c r="FU11" s="426" t="n"/>
      <c r="FV11" s="426" t="n"/>
      <c r="FW11" s="426" t="n"/>
      <c r="FX11" s="426" t="n"/>
      <c r="FY11" s="426" t="n"/>
      <c r="FZ11" s="426" t="n"/>
      <c r="GA11" s="426" t="n"/>
      <c r="GB11" s="426" t="n"/>
      <c r="GC11" s="426" t="n"/>
      <c r="GD11" s="426" t="n"/>
      <c r="GE11" s="426" t="n"/>
      <c r="GF11" s="426" t="n"/>
      <c r="GG11" s="426" t="n"/>
      <c r="GH11" s="426" t="n"/>
      <c r="GI11" s="426" t="n"/>
      <c r="GJ11" s="426" t="n"/>
      <c r="GK11" s="426" t="n"/>
      <c r="GL11" s="426" t="n"/>
      <c r="GM11" s="426" t="n"/>
      <c r="GN11" s="426" t="n"/>
      <c r="GO11" s="426" t="n"/>
      <c r="GP11" s="426" t="n"/>
      <c r="GQ11" s="426" t="n"/>
      <c r="GR11" s="426" t="n"/>
      <c r="GS11" s="426" t="n"/>
      <c r="GT11" s="426" t="n"/>
      <c r="GU11" s="426" t="n"/>
      <c r="GV11" s="426" t="n"/>
      <c r="GW11" s="426" t="n"/>
      <c r="GX11" s="426" t="n"/>
      <c r="GY11" s="426" t="n"/>
      <c r="GZ11" s="426" t="n"/>
      <c r="HA11" s="426" t="n"/>
      <c r="HB11" s="426" t="n"/>
      <c r="HC11" s="426" t="n"/>
      <c r="HD11" s="426" t="n"/>
      <c r="HE11" s="426" t="n"/>
      <c r="HF11" s="426" t="n"/>
      <c r="HG11" s="426" t="n"/>
      <c r="HH11" s="426" t="n"/>
      <c r="HI11" s="426" t="n"/>
      <c r="HJ11" s="426" t="n"/>
      <c r="HK11" s="426" t="n"/>
      <c r="HL11" s="426" t="n"/>
      <c r="HM11" s="426" t="n"/>
      <c r="HN11" s="426" t="n"/>
      <c r="HO11" s="426" t="n"/>
      <c r="HP11" s="426" t="n"/>
      <c r="HQ11" s="426" t="n"/>
      <c r="HR11" s="426" t="n"/>
      <c r="HS11" s="426" t="n"/>
      <c r="HT11" s="426" t="n"/>
      <c r="HU11" s="426" t="n"/>
      <c r="HV11" s="426" t="n"/>
      <c r="HW11" s="426" t="n"/>
      <c r="HX11" s="426" t="n"/>
      <c r="HY11" s="426" t="n"/>
      <c r="HZ11" s="426" t="n"/>
      <c r="IA11" s="426" t="n"/>
      <c r="IB11" s="426" t="n"/>
      <c r="IC11" s="426" t="n"/>
      <c r="ID11" s="426" t="n"/>
      <c r="IE11" s="426" t="n"/>
      <c r="IF11" s="426" t="n"/>
      <c r="IG11" s="426" t="n"/>
      <c r="IH11" s="426" t="n"/>
      <c r="II11" s="426" t="n"/>
      <c r="IJ11" s="426" t="n"/>
      <c r="IK11" s="426" t="n"/>
      <c r="IL11" s="426" t="n"/>
      <c r="IM11" s="426" t="n"/>
      <c r="IN11" s="426" t="n"/>
      <c r="IO11" s="426" t="n"/>
      <c r="IP11" s="426" t="n"/>
      <c r="IQ11" s="426" t="n"/>
      <c r="IR11" s="426" t="n"/>
      <c r="IS11" s="426" t="n"/>
      <c r="IT11" s="426" t="n"/>
      <c r="IU11" s="426" t="n"/>
      <c r="IV11" s="426" t="n"/>
      <c r="IW11" s="426" t="n"/>
      <c r="IX11" s="426" t="n"/>
      <c r="IY11" s="426" t="n"/>
      <c r="IZ11" s="426" t="n"/>
      <c r="JA11" s="426" t="n"/>
      <c r="JB11" s="426" t="n"/>
      <c r="JC11" s="426" t="n"/>
      <c r="JD11" s="426" t="n"/>
      <c r="JE11" s="426" t="n"/>
      <c r="JF11" s="426" t="n"/>
      <c r="JG11" s="426" t="n"/>
      <c r="JH11" s="426" t="n"/>
      <c r="JI11" s="426" t="n"/>
      <c r="JJ11" s="426" t="n"/>
      <c r="JK11" s="426" t="n"/>
      <c r="JL11" s="426" t="n"/>
      <c r="JM11" s="426" t="n"/>
      <c r="JN11" s="426" t="n"/>
      <c r="JO11" s="426" t="n"/>
      <c r="JP11" s="426" t="n"/>
      <c r="JQ11" s="426" t="n"/>
      <c r="JR11" s="426" t="n"/>
      <c r="JS11" s="426" t="n"/>
      <c r="JT11" s="426" t="n"/>
      <c r="JU11" s="426" t="n"/>
      <c r="JV11" s="426" t="n"/>
      <c r="JW11" s="426" t="n"/>
      <c r="JX11" s="426" t="n"/>
      <c r="JY11" s="426" t="n"/>
      <c r="JZ11" s="426" t="n"/>
      <c r="KA11" s="426" t="n"/>
      <c r="KB11" s="426" t="n"/>
      <c r="KC11" s="426" t="n"/>
      <c r="KD11" s="426" t="n"/>
      <c r="KE11" s="426" t="n"/>
      <c r="KF11" s="426" t="n"/>
      <c r="KG11" s="426" t="n"/>
      <c r="KH11" s="426" t="n"/>
      <c r="KI11" s="426" t="n"/>
      <c r="KJ11" s="426" t="n"/>
      <c r="KK11" s="426" t="n"/>
      <c r="KL11" s="426" t="n"/>
      <c r="KM11" s="426" t="n"/>
      <c r="KN11" s="426" t="n"/>
      <c r="KO11" s="426" t="n"/>
      <c r="KP11" s="426" t="n"/>
      <c r="KQ11" s="426" t="n"/>
      <c r="KR11" s="426" t="n"/>
      <c r="KS11" s="426" t="n"/>
      <c r="KT11" s="426" t="n"/>
      <c r="KU11" s="426" t="n"/>
      <c r="KV11" s="426" t="n"/>
      <c r="KW11" s="426" t="n"/>
      <c r="KX11" s="426" t="n"/>
      <c r="KY11" s="426" t="n"/>
      <c r="KZ11" s="426" t="n"/>
      <c r="LA11" s="426" t="n"/>
      <c r="LB11" s="426" t="n"/>
      <c r="LC11" s="426" t="n"/>
      <c r="LD11" s="426" t="n"/>
      <c r="LE11" s="426" t="n"/>
      <c r="LF11" s="426" t="n"/>
      <c r="LG11" s="426" t="n"/>
      <c r="LH11" s="426" t="n"/>
      <c r="LI11" s="426" t="n"/>
      <c r="LJ11" s="426" t="n"/>
      <c r="LK11" s="426" t="n"/>
      <c r="LL11" s="426" t="n"/>
      <c r="LM11" s="426" t="n"/>
      <c r="LN11" s="426" t="n"/>
      <c r="LO11" s="426" t="n"/>
      <c r="LP11" s="426" t="n"/>
      <c r="LQ11" s="426" t="n"/>
      <c r="LR11" s="426" t="n"/>
      <c r="LS11" s="426" t="n"/>
      <c r="LT11" s="426" t="n"/>
      <c r="LU11" s="426" t="n"/>
      <c r="LV11" s="426" t="n"/>
      <c r="LW11" s="426" t="n"/>
      <c r="LX11" s="426" t="n"/>
      <c r="LY11" s="426" t="n"/>
      <c r="LZ11" s="426" t="n"/>
      <c r="MA11" s="426" t="n"/>
      <c r="MB11" s="426" t="n"/>
      <c r="MC11" s="426" t="n"/>
      <c r="MD11" s="426" t="n"/>
      <c r="ME11" s="426" t="n"/>
      <c r="MF11" s="426" t="n"/>
      <c r="MG11" s="426" t="n"/>
      <c r="MH11" s="426" t="n"/>
      <c r="MI11" s="426" t="n"/>
      <c r="MJ11" s="426" t="n"/>
      <c r="MK11" s="426" t="n"/>
      <c r="ML11" s="426" t="n"/>
      <c r="MM11" s="426" t="n"/>
      <c r="MN11" s="426" t="n"/>
      <c r="MO11" s="426" t="n"/>
      <c r="MP11" s="426" t="n"/>
      <c r="MQ11" s="426" t="n"/>
      <c r="MR11" s="426" t="n"/>
      <c r="MS11" s="426" t="n"/>
      <c r="MT11" s="426" t="n"/>
      <c r="MU11" s="426" t="n"/>
      <c r="MV11" s="426" t="n"/>
      <c r="MW11" s="426" t="n"/>
      <c r="MX11" s="426" t="n"/>
      <c r="MY11" s="426" t="n"/>
      <c r="MZ11" s="426" t="n"/>
      <c r="NA11" s="426" t="n"/>
      <c r="NB11" s="426" t="n"/>
      <c r="NC11" s="426" t="n"/>
      <c r="ND11" s="426" t="n"/>
      <c r="NE11" s="426" t="n"/>
      <c r="NF11" s="426" t="n"/>
      <c r="NG11" s="426" t="n"/>
      <c r="NH11" s="426" t="n"/>
      <c r="NI11" s="426" t="n"/>
      <c r="NJ11" s="426" t="n"/>
      <c r="NK11" s="426" t="n"/>
      <c r="NL11" s="426" t="n"/>
      <c r="NM11" s="426" t="n"/>
      <c r="NN11" s="426" t="n"/>
      <c r="NO11" s="426" t="n"/>
      <c r="NP11" s="426" t="n"/>
      <c r="NQ11" s="426" t="n"/>
      <c r="NR11" s="426" t="n"/>
      <c r="NS11" s="426" t="n"/>
      <c r="NT11" s="426" t="n"/>
      <c r="NU11" s="426" t="n"/>
      <c r="NV11" s="426" t="n"/>
      <c r="NW11" s="426" t="n"/>
      <c r="NX11" s="426" t="n"/>
      <c r="NY11" s="426" t="n"/>
      <c r="NZ11" s="426" t="n"/>
      <c r="OA11" s="426" t="n"/>
      <c r="OB11" s="426" t="n"/>
      <c r="OC11" s="426" t="n"/>
      <c r="OD11" s="426" t="n"/>
      <c r="OE11" s="426" t="n"/>
      <c r="OF11" s="426" t="n"/>
      <c r="OG11" s="426" t="n"/>
      <c r="OH11" s="426" t="n"/>
      <c r="OI11" s="426" t="n"/>
      <c r="OJ11" s="426" t="n"/>
      <c r="OK11" s="426" t="n"/>
      <c r="OL11" s="426" t="n"/>
      <c r="OM11" s="426" t="n"/>
      <c r="ON11" s="426" t="n"/>
      <c r="OO11" s="426" t="n"/>
      <c r="OP11" s="426" t="n"/>
      <c r="OQ11" s="426" t="n"/>
      <c r="OR11" s="426" t="n"/>
      <c r="OS11" s="426" t="n"/>
      <c r="OT11" s="426" t="n"/>
      <c r="OU11" s="426" t="n"/>
      <c r="OV11" s="426" t="n"/>
      <c r="OW11" s="426" t="n"/>
      <c r="OX11" s="426" t="n"/>
      <c r="OY11" s="426" t="n"/>
      <c r="OZ11" s="426" t="n"/>
      <c r="PA11" s="426" t="n"/>
      <c r="PB11" s="426" t="n"/>
      <c r="PC11" s="426" t="n"/>
      <c r="PD11" s="426" t="n"/>
      <c r="PE11" s="426" t="n"/>
      <c r="PF11" s="426" t="n"/>
      <c r="PG11" s="426" t="n"/>
      <c r="PH11" s="426" t="n"/>
      <c r="PI11" s="426" t="n"/>
      <c r="PJ11" s="426" t="n"/>
      <c r="PK11" s="426" t="n"/>
      <c r="PL11" s="426" t="n"/>
      <c r="PM11" s="426" t="n"/>
      <c r="PN11" s="426" t="n"/>
      <c r="PO11" s="426" t="n"/>
      <c r="PP11" s="426" t="n"/>
      <c r="PQ11" s="426" t="n"/>
      <c r="PR11" s="426" t="n"/>
      <c r="PS11" s="426" t="n"/>
      <c r="PT11" s="426" t="n"/>
      <c r="PU11" s="426" t="n"/>
      <c r="PV11" s="426" t="n"/>
      <c r="PW11" s="426" t="n"/>
      <c r="PX11" s="426" t="n"/>
      <c r="PY11" s="426" t="n"/>
      <c r="PZ11" s="426" t="n"/>
      <c r="QA11" s="426" t="n"/>
      <c r="QB11" s="426" t="n"/>
      <c r="QC11" s="426" t="n"/>
      <c r="QD11" s="426" t="n"/>
      <c r="QE11" s="426" t="n"/>
      <c r="QF11" s="426" t="n"/>
      <c r="QG11" s="426" t="n"/>
      <c r="QH11" s="426" t="n"/>
      <c r="QI11" s="426" t="n"/>
      <c r="QJ11" s="426" t="n"/>
      <c r="QK11" s="426" t="n"/>
      <c r="QL11" s="426" t="n"/>
      <c r="QM11" s="426" t="n"/>
      <c r="QN11" s="426" t="n"/>
      <c r="QO11" s="426" t="n"/>
      <c r="QP11" s="426" t="n"/>
      <c r="QQ11" s="426" t="n"/>
      <c r="QR11" s="426" t="n"/>
      <c r="QS11" s="426" t="n"/>
      <c r="QT11" s="426" t="n"/>
      <c r="QU11" s="426" t="n"/>
      <c r="QV11" s="426" t="n"/>
      <c r="QW11" s="426" t="n"/>
      <c r="QX11" s="426" t="n"/>
      <c r="QY11" s="426" t="n"/>
      <c r="QZ11" s="426" t="n"/>
      <c r="RA11" s="426" t="n"/>
      <c r="RB11" s="426" t="n"/>
      <c r="RC11" s="426" t="n"/>
      <c r="RD11" s="426" t="n"/>
      <c r="RE11" s="426" t="n"/>
      <c r="RF11" s="426" t="n"/>
      <c r="RG11" s="426" t="n"/>
      <c r="RH11" s="426" t="n"/>
      <c r="RI11" s="426" t="n"/>
      <c r="RJ11" s="426" t="n"/>
      <c r="RK11" s="426" t="n"/>
      <c r="RL11" s="426" t="n"/>
      <c r="RM11" s="426" t="n"/>
      <c r="RN11" s="426" t="n"/>
      <c r="RO11" s="426" t="n"/>
      <c r="RP11" s="426" t="n"/>
      <c r="RQ11" s="426" t="n"/>
      <c r="RR11" s="426" t="n"/>
      <c r="RS11" s="426" t="n"/>
      <c r="RT11" s="426" t="n"/>
      <c r="RU11" s="426" t="n"/>
      <c r="RV11" s="426" t="n"/>
      <c r="RW11" s="426" t="n"/>
      <c r="RX11" s="426" t="n"/>
      <c r="RY11" s="426" t="n"/>
      <c r="RZ11" s="426" t="n"/>
      <c r="SA11" s="426" t="n"/>
      <c r="SB11" s="426" t="n"/>
      <c r="SC11" s="426" t="n"/>
      <c r="SD11" s="426" t="n"/>
      <c r="SE11" s="426" t="n"/>
      <c r="SF11" s="426" t="n"/>
      <c r="SG11" s="426" t="n"/>
      <c r="SH11" s="426" t="n"/>
      <c r="SI11" s="426" t="n"/>
      <c r="SJ11" s="426" t="n"/>
      <c r="SK11" s="426" t="n"/>
      <c r="SL11" s="426" t="n"/>
      <c r="SM11" s="426" t="n"/>
      <c r="SN11" s="426" t="n"/>
      <c r="SO11" s="426" t="n"/>
      <c r="SP11" s="426" t="n"/>
      <c r="SQ11" s="426" t="n"/>
      <c r="SR11" s="426" t="n"/>
      <c r="SS11" s="426" t="n"/>
      <c r="ST11" s="426" t="n"/>
      <c r="SU11" s="426" t="n"/>
      <c r="SV11" s="426" t="n"/>
      <c r="SW11" s="426" t="n"/>
      <c r="SX11" s="426" t="n"/>
      <c r="SY11" s="426" t="n"/>
      <c r="SZ11" s="426" t="n"/>
      <c r="TA11" s="426" t="n"/>
      <c r="TB11" s="426" t="n"/>
      <c r="TC11" s="426" t="n"/>
      <c r="TD11" s="426" t="n"/>
      <c r="TE11" s="426" t="n"/>
      <c r="TF11" s="426" t="n"/>
      <c r="TG11" s="426" t="n"/>
      <c r="TH11" s="426" t="n"/>
      <c r="TI11" s="426" t="n"/>
      <c r="TJ11" s="426" t="n"/>
      <c r="TK11" s="426" t="n"/>
      <c r="TL11" s="426" t="n"/>
      <c r="TM11" s="426" t="n"/>
      <c r="TN11" s="426" t="n"/>
      <c r="TO11" s="426" t="n"/>
      <c r="TP11" s="426" t="n"/>
      <c r="TQ11" s="426" t="n"/>
      <c r="TR11" s="426" t="n"/>
      <c r="TS11" s="426" t="n"/>
      <c r="TT11" s="426" t="n"/>
      <c r="TU11" s="426" t="n"/>
      <c r="TV11" s="426" t="n"/>
      <c r="TW11" s="426" t="n"/>
      <c r="TX11" s="426" t="n"/>
      <c r="TY11" s="426" t="n"/>
      <c r="TZ11" s="426" t="n"/>
      <c r="UA11" s="426" t="n"/>
      <c r="UB11" s="426" t="n"/>
      <c r="UC11" s="426" t="n"/>
      <c r="UD11" s="426" t="n"/>
      <c r="UE11" s="426" t="n"/>
      <c r="UF11" s="426" t="n"/>
      <c r="UG11" s="426" t="n"/>
      <c r="UH11" s="426" t="n"/>
      <c r="UI11" s="426" t="n"/>
      <c r="UJ11" s="426" t="n"/>
      <c r="UK11" s="426" t="n"/>
      <c r="UL11" s="426" t="n"/>
      <c r="UM11" s="426" t="n"/>
      <c r="UN11" s="426" t="n"/>
      <c r="UO11" s="426" t="n"/>
      <c r="UP11" s="426" t="n"/>
      <c r="UQ11" s="426" t="n"/>
      <c r="UR11" s="426" t="n"/>
      <c r="US11" s="426" t="n"/>
      <c r="UT11" s="426" t="n"/>
      <c r="UU11" s="426" t="n"/>
      <c r="UV11" s="426" t="n"/>
      <c r="UW11" s="426" t="n"/>
      <c r="UX11" s="426" t="n"/>
      <c r="UY11" s="426" t="n"/>
      <c r="UZ11" s="426" t="n"/>
      <c r="VA11" s="426" t="n"/>
      <c r="VB11" s="426" t="n"/>
      <c r="VC11" s="426" t="n"/>
      <c r="VD11" s="426" t="n"/>
      <c r="VE11" s="426" t="n"/>
      <c r="VF11" s="426" t="n"/>
      <c r="VG11" s="426" t="n"/>
      <c r="VH11" s="426" t="n"/>
      <c r="VI11" s="426" t="n"/>
      <c r="VJ11" s="426" t="n"/>
      <c r="VK11" s="426" t="n"/>
      <c r="VL11" s="426" t="n"/>
      <c r="VM11" s="426" t="n"/>
      <c r="VN11" s="426" t="n"/>
      <c r="VO11" s="426" t="n"/>
      <c r="VP11" s="426" t="n"/>
      <c r="VQ11" s="426" t="n"/>
      <c r="VR11" s="426" t="n"/>
      <c r="VS11" s="426" t="n"/>
      <c r="VT11" s="426" t="n"/>
      <c r="VU11" s="426" t="n"/>
      <c r="VV11" s="426" t="n"/>
      <c r="VW11" s="426" t="n"/>
      <c r="VX11" s="426" t="n"/>
      <c r="VY11" s="426" t="n"/>
      <c r="VZ11" s="426" t="n"/>
      <c r="WA11" s="426" t="n"/>
      <c r="WB11" s="426" t="n"/>
      <c r="WC11" s="426" t="n"/>
      <c r="WD11" s="426" t="n"/>
      <c r="WE11" s="426" t="n"/>
      <c r="WF11" s="426" t="n"/>
      <c r="WG11" s="426" t="n"/>
      <c r="WH11" s="426" t="n"/>
      <c r="WI11" s="426" t="n"/>
      <c r="WJ11" s="426" t="n"/>
      <c r="WK11" s="426" t="n"/>
      <c r="WL11" s="426" t="n"/>
      <c r="WM11" s="426" t="n"/>
      <c r="WN11" s="426" t="n"/>
      <c r="WO11" s="426" t="n"/>
      <c r="WP11" s="426" t="n"/>
      <c r="WQ11" s="426" t="n"/>
      <c r="WR11" s="426" t="n"/>
      <c r="WS11" s="426" t="n"/>
      <c r="WT11" s="426" t="n"/>
      <c r="WU11" s="426" t="n"/>
      <c r="WV11" s="426" t="n"/>
      <c r="WW11" s="426" t="n"/>
      <c r="WX11" s="426" t="n"/>
      <c r="WY11" s="426" t="n"/>
      <c r="WZ11" s="426" t="n"/>
      <c r="XA11" s="426" t="n"/>
      <c r="XB11" s="426" t="n"/>
      <c r="XC11" s="426" t="n"/>
      <c r="XD11" s="426" t="n"/>
      <c r="XE11" s="426" t="n"/>
      <c r="XF11" s="426" t="n"/>
      <c r="XG11" s="426" t="n"/>
      <c r="XH11" s="426" t="n"/>
      <c r="XI11" s="426" t="n"/>
      <c r="XJ11" s="426" t="n"/>
      <c r="XK11" s="426" t="n"/>
      <c r="XL11" s="426" t="n"/>
      <c r="XM11" s="426" t="n"/>
      <c r="XN11" s="426" t="n"/>
      <c r="XO11" s="426" t="n"/>
      <c r="XP11" s="426" t="n"/>
      <c r="XQ11" s="426" t="n"/>
      <c r="XR11" s="426" t="n"/>
      <c r="XS11" s="426" t="n"/>
      <c r="XT11" s="426" t="n"/>
      <c r="XU11" s="426" t="n"/>
      <c r="XV11" s="426" t="n"/>
      <c r="XW11" s="426" t="n"/>
      <c r="XX11" s="426" t="n"/>
      <c r="XY11" s="426" t="n"/>
      <c r="XZ11" s="426" t="n"/>
      <c r="YA11" s="426" t="n"/>
      <c r="YB11" s="426" t="n"/>
      <c r="YC11" s="426" t="n"/>
      <c r="YD11" s="426" t="n"/>
      <c r="YE11" s="426" t="n"/>
      <c r="YF11" s="426" t="n"/>
      <c r="YG11" s="426" t="n"/>
      <c r="YH11" s="426" t="n"/>
      <c r="YI11" s="426" t="n"/>
      <c r="YJ11" s="426" t="n"/>
      <c r="YK11" s="426" t="n"/>
      <c r="YL11" s="426" t="n"/>
      <c r="YM11" s="426" t="n"/>
      <c r="YN11" s="426" t="n"/>
      <c r="YO11" s="426" t="n"/>
      <c r="YP11" s="426" t="n"/>
      <c r="YQ11" s="426" t="n"/>
      <c r="YR11" s="426" t="n"/>
      <c r="YS11" s="426" t="n"/>
      <c r="YT11" s="426" t="n"/>
      <c r="YU11" s="426" t="n"/>
      <c r="YV11" s="426" t="n"/>
      <c r="YW11" s="426" t="n"/>
      <c r="YX11" s="426" t="n"/>
      <c r="YY11" s="426" t="n"/>
      <c r="YZ11" s="426" t="n"/>
      <c r="ZA11" s="426" t="n"/>
      <c r="ZB11" s="426" t="n"/>
      <c r="ZC11" s="426" t="n"/>
      <c r="ZD11" s="426" t="n"/>
      <c r="ZE11" s="426" t="n"/>
      <c r="ZF11" s="426" t="n"/>
      <c r="ZG11" s="426" t="n"/>
      <c r="ZH11" s="426" t="n"/>
      <c r="ZI11" s="426" t="n"/>
      <c r="ZJ11" s="426" t="n"/>
      <c r="ZK11" s="426" t="n"/>
      <c r="ZL11" s="426" t="n"/>
      <c r="ZM11" s="426" t="n"/>
      <c r="ZN11" s="426" t="n"/>
      <c r="ZO11" s="426" t="n"/>
      <c r="ZP11" s="426" t="n"/>
      <c r="ZQ11" s="426" t="n"/>
      <c r="ZR11" s="426" t="n"/>
      <c r="ZS11" s="426" t="n"/>
      <c r="ZT11" s="426" t="n"/>
      <c r="ZU11" s="426" t="n"/>
      <c r="ZV11" s="426" t="n"/>
      <c r="ZW11" s="426" t="n"/>
      <c r="ZX11" s="426" t="n"/>
      <c r="ZY11" s="426" t="n"/>
      <c r="ZZ11" s="426" t="n"/>
      <c r="AAA11" s="426" t="n"/>
      <c r="AAB11" s="426" t="n"/>
      <c r="AAC11" s="426" t="n"/>
      <c r="AAD11" s="426" t="n"/>
      <c r="AAE11" s="426" t="n"/>
      <c r="AAF11" s="426" t="n"/>
      <c r="AAG11" s="426" t="n"/>
      <c r="AAH11" s="426" t="n"/>
      <c r="AAI11" s="426" t="n"/>
      <c r="AAJ11" s="426" t="n"/>
      <c r="AAK11" s="426" t="n"/>
      <c r="AAL11" s="426" t="n"/>
      <c r="AAM11" s="426" t="n"/>
      <c r="AAN11" s="426" t="n"/>
      <c r="AAO11" s="426" t="n"/>
      <c r="AAP11" s="426" t="n"/>
      <c r="AAQ11" s="426" t="n"/>
      <c r="AAR11" s="426" t="n"/>
      <c r="AAS11" s="426" t="n"/>
      <c r="AAT11" s="426" t="n"/>
      <c r="AAU11" s="426" t="n"/>
      <c r="AAV11" s="426" t="n"/>
      <c r="AAW11" s="426" t="n"/>
      <c r="AAX11" s="426" t="n"/>
      <c r="AAY11" s="426" t="n"/>
      <c r="AAZ11" s="426" t="n"/>
      <c r="ABA11" s="426" t="n"/>
      <c r="ABB11" s="426" t="n"/>
      <c r="ABC11" s="426" t="n"/>
      <c r="ABD11" s="426" t="n"/>
      <c r="ABE11" s="426" t="n"/>
      <c r="ABF11" s="426" t="n"/>
      <c r="ABG11" s="426" t="n"/>
      <c r="ABH11" s="426" t="n"/>
      <c r="ABI11" s="426" t="n"/>
      <c r="ABJ11" s="426" t="n"/>
      <c r="ABK11" s="426" t="n"/>
      <c r="ABL11" s="426" t="n"/>
      <c r="ABM11" s="426" t="n"/>
      <c r="ABN11" s="426" t="n"/>
      <c r="ABO11" s="426" t="n"/>
      <c r="ABP11" s="426" t="n"/>
      <c r="ABQ11" s="426" t="n"/>
      <c r="ABR11" s="426" t="n"/>
      <c r="ABS11" s="426" t="n"/>
      <c r="ABT11" s="426" t="n"/>
      <c r="ABU11" s="426" t="n"/>
      <c r="ABV11" s="426" t="n"/>
      <c r="ABW11" s="426" t="n"/>
      <c r="ABX11" s="426" t="n"/>
      <c r="ABY11" s="426" t="n"/>
      <c r="ABZ11" s="426" t="n"/>
      <c r="ACA11" s="426" t="n"/>
      <c r="ACB11" s="426" t="n"/>
      <c r="ACC11" s="426" t="n"/>
      <c r="ACD11" s="426" t="n"/>
      <c r="ACE11" s="426" t="n"/>
      <c r="ACF11" s="426" t="n"/>
      <c r="ACG11" s="426" t="n"/>
      <c r="ACH11" s="426" t="n"/>
      <c r="ACI11" s="426" t="n"/>
      <c r="ACJ11" s="426" t="n"/>
      <c r="ACK11" s="426" t="n"/>
      <c r="ACL11" s="426" t="n"/>
      <c r="ACM11" s="426" t="n"/>
      <c r="ACN11" s="426" t="n"/>
      <c r="ACO11" s="426" t="n"/>
      <c r="ACP11" s="426" t="n"/>
      <c r="ACQ11" s="426" t="n"/>
      <c r="ACR11" s="426" t="n"/>
      <c r="ACS11" s="426" t="n"/>
      <c r="ACT11" s="426" t="n"/>
      <c r="ACU11" s="426" t="n"/>
      <c r="ACV11" s="426" t="n"/>
      <c r="ACW11" s="426" t="n"/>
      <c r="ACX11" s="426" t="n"/>
      <c r="ACY11" s="426" t="n"/>
      <c r="ACZ11" s="426" t="n"/>
      <c r="ADA11" s="426" t="n"/>
      <c r="ADB11" s="426" t="n"/>
      <c r="ADC11" s="426" t="n"/>
      <c r="ADD11" s="426" t="n"/>
      <c r="ADE11" s="426" t="n"/>
      <c r="ADF11" s="426" t="n"/>
      <c r="ADG11" s="426" t="n"/>
      <c r="ADH11" s="426" t="n"/>
      <c r="ADI11" s="426" t="n"/>
      <c r="ADJ11" s="426" t="n"/>
      <c r="ADK11" s="426" t="n"/>
      <c r="ADL11" s="426" t="n"/>
      <c r="ADM11" s="426" t="n"/>
      <c r="ADN11" s="426" t="n"/>
      <c r="ADO11" s="426" t="n"/>
      <c r="ADP11" s="426" t="n"/>
      <c r="ADQ11" s="426" t="n"/>
      <c r="ADR11" s="426" t="n"/>
      <c r="ADS11" s="426" t="n"/>
      <c r="ADT11" s="426" t="n"/>
      <c r="ADU11" s="426" t="n"/>
      <c r="ADV11" s="426" t="n"/>
      <c r="ADW11" s="426" t="n"/>
      <c r="ADX11" s="426" t="n"/>
      <c r="ADY11" s="426" t="n"/>
      <c r="ADZ11" s="426" t="n"/>
      <c r="AEA11" s="426" t="n"/>
      <c r="AEB11" s="426" t="n"/>
      <c r="AEC11" s="426" t="n"/>
      <c r="AED11" s="426" t="n"/>
      <c r="AEE11" s="426" t="n"/>
      <c r="AEF11" s="426" t="n"/>
      <c r="AEG11" s="426" t="n"/>
      <c r="AEH11" s="426" t="n"/>
      <c r="AEI11" s="426" t="n"/>
      <c r="AEJ11" s="426" t="n"/>
      <c r="AEK11" s="426" t="n"/>
      <c r="AEL11" s="426" t="n"/>
      <c r="AEM11" s="426" t="n"/>
      <c r="AEN11" s="426" t="n"/>
      <c r="AEO11" s="426" t="n"/>
      <c r="AEP11" s="426" t="n"/>
      <c r="AEQ11" s="426" t="n"/>
      <c r="AER11" s="426" t="n"/>
      <c r="AES11" s="426" t="n"/>
      <c r="AET11" s="426" t="n"/>
      <c r="AEU11" s="426" t="n"/>
      <c r="AEV11" s="426" t="n"/>
      <c r="AEW11" s="426" t="n"/>
      <c r="AEX11" s="426" t="n"/>
      <c r="AEY11" s="426" t="n"/>
      <c r="AEZ11" s="426" t="n"/>
      <c r="AFA11" s="426" t="n"/>
      <c r="AFB11" s="426" t="n"/>
      <c r="AFC11" s="426" t="n"/>
      <c r="AFD11" s="426" t="n"/>
      <c r="AFE11" s="426" t="n"/>
      <c r="AFF11" s="426" t="n"/>
      <c r="AFG11" s="426" t="n"/>
      <c r="AFH11" s="426" t="n"/>
      <c r="AFI11" s="426" t="n"/>
      <c r="AFJ11" s="426" t="n"/>
      <c r="AFK11" s="426" t="n"/>
      <c r="AFL11" s="426" t="n"/>
      <c r="AFM11" s="426" t="n"/>
      <c r="AFN11" s="426" t="n"/>
      <c r="AFO11" s="426" t="n"/>
      <c r="AFP11" s="426" t="n"/>
      <c r="AFQ11" s="426" t="n"/>
      <c r="AFR11" s="426" t="n"/>
      <c r="AFS11" s="426" t="n"/>
      <c r="AFT11" s="426" t="n"/>
      <c r="AFU11" s="426" t="n"/>
      <c r="AFV11" s="426" t="n"/>
      <c r="AFW11" s="426" t="n"/>
      <c r="AFX11" s="426" t="n"/>
      <c r="AFY11" s="426" t="n"/>
      <c r="AFZ11" s="426" t="n"/>
      <c r="AGA11" s="426" t="n"/>
      <c r="AGB11" s="426" t="n"/>
      <c r="AGC11" s="426" t="n"/>
      <c r="AGD11" s="426" t="n"/>
      <c r="AGE11" s="426" t="n"/>
      <c r="AGF11" s="426" t="n"/>
      <c r="AGG11" s="426" t="n"/>
      <c r="AGH11" s="426" t="n"/>
      <c r="AGI11" s="426" t="n"/>
      <c r="AGJ11" s="426" t="n"/>
      <c r="AGK11" s="426" t="n"/>
      <c r="AGL11" s="426" t="n"/>
      <c r="AGM11" s="426" t="n"/>
      <c r="AGN11" s="426" t="n"/>
      <c r="AGO11" s="426" t="n"/>
      <c r="AGP11" s="426" t="n"/>
      <c r="AGQ11" s="426" t="n"/>
      <c r="AGR11" s="426" t="n"/>
      <c r="AGS11" s="426" t="n"/>
      <c r="AGT11" s="426" t="n"/>
      <c r="AGU11" s="426" t="n"/>
      <c r="AGV11" s="426" t="n"/>
      <c r="AGW11" s="426" t="n"/>
      <c r="AGX11" s="426" t="n"/>
      <c r="AGY11" s="426" t="n"/>
      <c r="AGZ11" s="426" t="n"/>
      <c r="AHA11" s="426" t="n"/>
      <c r="AHB11" s="426" t="n"/>
      <c r="AHC11" s="426" t="n"/>
      <c r="AHD11" s="426" t="n"/>
      <c r="AHE11" s="426" t="n"/>
      <c r="AHF11" s="426" t="n"/>
      <c r="AHG11" s="426" t="n"/>
      <c r="AHH11" s="426" t="n"/>
      <c r="AHI11" s="426" t="n"/>
      <c r="AHJ11" s="426" t="n"/>
      <c r="AHK11" s="426" t="n"/>
      <c r="AHL11" s="426" t="n"/>
      <c r="AHM11" s="426" t="n"/>
      <c r="AHN11" s="426" t="n"/>
      <c r="AHO11" s="426" t="n"/>
      <c r="AHP11" s="426" t="n"/>
      <c r="AHQ11" s="426" t="n"/>
      <c r="AHR11" s="426" t="n"/>
      <c r="AHS11" s="426" t="n"/>
      <c r="AHT11" s="426" t="n"/>
      <c r="AHU11" s="426" t="n"/>
      <c r="AHV11" s="426" t="n"/>
      <c r="AHW11" s="426" t="n"/>
      <c r="AHX11" s="426" t="n"/>
      <c r="AHY11" s="426" t="n"/>
      <c r="AHZ11" s="426" t="n"/>
      <c r="AIA11" s="426" t="n"/>
      <c r="AIB11" s="426" t="n"/>
      <c r="AIC11" s="426" t="n"/>
      <c r="AID11" s="426" t="n"/>
      <c r="AIE11" s="426" t="n"/>
      <c r="AIF11" s="426" t="n"/>
      <c r="AIG11" s="426" t="n"/>
      <c r="AIH11" s="426" t="n"/>
      <c r="AII11" s="426" t="n"/>
      <c r="AIJ11" s="426" t="n"/>
      <c r="AIK11" s="426" t="n"/>
      <c r="AIL11" s="426" t="n"/>
      <c r="AIM11" s="426" t="n"/>
      <c r="AIN11" s="426" t="n"/>
      <c r="AIO11" s="426" t="n"/>
      <c r="AIP11" s="426" t="n"/>
      <c r="AIQ11" s="426" t="n"/>
      <c r="AIR11" s="426" t="n"/>
      <c r="AIS11" s="426" t="n"/>
      <c r="AIT11" s="426" t="n"/>
      <c r="AIU11" s="426" t="n"/>
      <c r="AIV11" s="426" t="n"/>
      <c r="AIW11" s="426" t="n"/>
      <c r="AIX11" s="426" t="n"/>
      <c r="AIY11" s="426" t="n"/>
      <c r="AIZ11" s="426" t="n"/>
      <c r="AJA11" s="426" t="n"/>
      <c r="AJB11" s="426" t="n"/>
      <c r="AJC11" s="426" t="n"/>
      <c r="AJD11" s="426" t="n"/>
      <c r="AJE11" s="426" t="n"/>
      <c r="AJF11" s="426" t="n"/>
      <c r="AJG11" s="426" t="n"/>
      <c r="AJH11" s="426" t="n"/>
      <c r="AJI11" s="426" t="n"/>
      <c r="AJJ11" s="426" t="n"/>
      <c r="AJK11" s="426" t="n"/>
      <c r="AJL11" s="426" t="n"/>
      <c r="AJM11" s="426" t="n"/>
      <c r="AJN11" s="426" t="n"/>
      <c r="AJO11" s="426" t="n"/>
      <c r="AJP11" s="426" t="n"/>
      <c r="AJQ11" s="426" t="n"/>
      <c r="AJR11" s="426" t="n"/>
      <c r="AJS11" s="426" t="n"/>
      <c r="AJT11" s="426" t="n"/>
      <c r="AJU11" s="426" t="n"/>
      <c r="AJV11" s="426" t="n"/>
      <c r="AJW11" s="426" t="n"/>
      <c r="AJX11" s="426" t="n"/>
      <c r="AJY11" s="426" t="n"/>
      <c r="AJZ11" s="426" t="n"/>
      <c r="AKA11" s="426" t="n"/>
      <c r="AKB11" s="426" t="n"/>
      <c r="AKC11" s="426" t="n"/>
      <c r="AKD11" s="426" t="n"/>
      <c r="AKE11" s="426" t="n"/>
      <c r="AKF11" s="426" t="n"/>
      <c r="AKG11" s="426" t="n"/>
      <c r="AKH11" s="426" t="n"/>
      <c r="AKI11" s="426" t="n"/>
      <c r="AKJ11" s="426" t="n"/>
      <c r="AKK11" s="426" t="n"/>
      <c r="AKL11" s="426" t="n"/>
      <c r="AKM11" s="426" t="n"/>
      <c r="AKN11" s="426" t="n"/>
      <c r="AKO11" s="426" t="n"/>
      <c r="AKP11" s="426" t="n"/>
      <c r="AKQ11" s="426" t="n"/>
      <c r="AKR11" s="426" t="n"/>
      <c r="AKS11" s="426" t="n"/>
      <c r="AKT11" s="426" t="n"/>
      <c r="AKU11" s="426" t="n"/>
      <c r="AKV11" s="426" t="n"/>
      <c r="AKW11" s="426" t="n"/>
      <c r="AKX11" s="426" t="n"/>
      <c r="AKY11" s="426" t="n"/>
      <c r="AKZ11" s="426" t="n"/>
      <c r="ALA11" s="426" t="n"/>
      <c r="ALB11" s="426" t="n"/>
      <c r="ALC11" s="426" t="n"/>
      <c r="ALD11" s="426" t="n"/>
      <c r="ALE11" s="426" t="n"/>
      <c r="ALF11" s="426" t="n"/>
      <c r="ALG11" s="426" t="n"/>
      <c r="ALH11" s="426" t="n"/>
      <c r="ALI11" s="426" t="n"/>
      <c r="ALJ11" s="426" t="n"/>
      <c r="ALK11" s="426" t="n"/>
      <c r="ALL11" s="426" t="n"/>
      <c r="ALM11" s="426" t="n"/>
      <c r="ALN11" s="426" t="n"/>
      <c r="ALO11" s="426" t="n"/>
      <c r="ALP11" s="426" t="n"/>
      <c r="ALQ11" s="426" t="n"/>
      <c r="ALR11" s="426" t="n"/>
      <c r="ALS11" s="426" t="n"/>
      <c r="ALT11" s="426" t="n"/>
      <c r="ALU11" s="426" t="n"/>
      <c r="ALV11" s="426" t="n"/>
      <c r="ALW11" s="426" t="n"/>
      <c r="ALX11" s="426" t="n"/>
      <c r="ALY11" s="426" t="n"/>
      <c r="ALZ11" s="426" t="n"/>
      <c r="AMA11" s="426" t="n"/>
      <c r="AMB11" s="426" t="n"/>
      <c r="AMC11" s="426" t="n"/>
      <c r="AMD11" s="426" t="n"/>
      <c r="AME11" s="426" t="n"/>
      <c r="AMF11" s="426" t="n"/>
      <c r="AMG11" s="426" t="n"/>
    </row>
    <row r="12" ht="38.25" customFormat="1" customHeight="1" s="430">
      <c r="A12" s="427" t="inlineStr">
        <is>
          <t>RO019</t>
        </is>
      </c>
      <c r="B12" s="428" t="inlineStr">
        <is>
          <t xml:space="preserve">Produit d'exploitation bancaire </t>
        </is>
      </c>
      <c r="C12" s="429" t="n"/>
      <c r="D12" s="429" t="n"/>
      <c r="E12" s="429" t="n"/>
      <c r="F12" s="429" t="n"/>
      <c r="G12" s="429" t="n"/>
      <c r="H12" s="429" t="n"/>
      <c r="I12" s="429" t="n"/>
      <c r="J12" s="429" t="n"/>
      <c r="K12" s="429" t="n"/>
    </row>
    <row r="13" ht="45.75" customFormat="1" customHeight="1" s="430">
      <c r="A13" s="427" t="inlineStr">
        <is>
          <t>RO020</t>
        </is>
      </c>
      <c r="B13" s="428" t="inlineStr">
        <is>
          <t xml:space="preserve">Moins-values réalisées sur cessions de titres du portefeuille bancaire  </t>
        </is>
      </c>
      <c r="C13" s="429" t="n"/>
      <c r="D13" s="429" t="n"/>
      <c r="E13" s="429" t="n"/>
      <c r="F13" s="429" t="n"/>
      <c r="G13" s="429" t="n"/>
      <c r="H13" s="429" t="n"/>
      <c r="I13" s="429" t="n"/>
      <c r="J13" s="429" t="n"/>
      <c r="K13" s="429" t="n"/>
    </row>
    <row r="14" ht="38.25" customFormat="1" customHeight="1" s="430">
      <c r="A14" s="427" t="inlineStr">
        <is>
          <t>RO021</t>
        </is>
      </c>
      <c r="B14" s="428" t="inlineStr">
        <is>
          <t>(-) Charges d'exploitation bancaire</t>
        </is>
      </c>
      <c r="C14" s="429" t="n"/>
      <c r="D14" s="429" t="n"/>
      <c r="E14" s="429" t="n"/>
      <c r="F14" s="429" t="n"/>
      <c r="G14" s="429" t="n"/>
      <c r="H14" s="429" t="n"/>
      <c r="I14" s="429" t="n"/>
      <c r="J14" s="429" t="n"/>
      <c r="K14" s="429" t="n"/>
    </row>
    <row r="15" ht="45.75" customFormat="1" customHeight="1" s="430">
      <c r="A15" s="427" t="inlineStr">
        <is>
          <t>RO022</t>
        </is>
      </c>
      <c r="B15" s="428" t="inlineStr">
        <is>
          <t xml:space="preserve">(-) Plus-values réalisées sur cessions de titres du portefeuille bancaire </t>
        </is>
      </c>
      <c r="C15" s="429" t="n"/>
      <c r="D15" s="429" t="n"/>
      <c r="E15" s="429" t="n"/>
      <c r="F15" s="429" t="n"/>
      <c r="G15" s="429" t="n"/>
      <c r="H15" s="429" t="n"/>
      <c r="I15" s="429" t="n"/>
      <c r="J15" s="429" t="n"/>
      <c r="K15" s="429" t="n"/>
    </row>
    <row r="16" ht="45.75" customFormat="1" customHeight="1" s="430">
      <c r="A16" s="427" t="inlineStr">
        <is>
          <t>RO023</t>
        </is>
      </c>
      <c r="B16" s="428" t="inlineStr">
        <is>
          <t xml:space="preserve">(+/-) Produits nets d'exploitation bancaire exceptionnels ou inhabituels </t>
        </is>
      </c>
      <c r="C16" s="429" t="n"/>
      <c r="D16" s="429" t="n"/>
      <c r="E16" s="429" t="n"/>
      <c r="F16" s="429" t="n"/>
      <c r="G16" s="429" t="n"/>
      <c r="H16" s="429" t="n"/>
      <c r="I16" s="429" t="n"/>
      <c r="J16" s="429" t="n"/>
      <c r="K16" s="429" t="n"/>
    </row>
    <row r="17" ht="38.25" customFormat="1" customHeight="1" s="430">
      <c r="A17" s="427" t="inlineStr">
        <is>
          <t>RO024</t>
        </is>
      </c>
      <c r="B17" s="428" t="inlineStr">
        <is>
          <t>(-) Produits provenant des activités d’assurance</t>
        </is>
      </c>
      <c r="C17" s="429" t="n"/>
      <c r="D17" s="429" t="n"/>
      <c r="E17" s="429" t="n"/>
      <c r="F17" s="429" t="n"/>
      <c r="G17" s="429" t="n"/>
      <c r="H17" s="429" t="n"/>
      <c r="I17" s="429" t="n"/>
      <c r="J17" s="429" t="n"/>
      <c r="K17" s="429" t="n"/>
    </row>
    <row r="18" ht="76.5" customFormat="1" customHeight="1" s="430">
      <c r="A18" s="427" t="inlineStr">
        <is>
          <t>RO025</t>
        </is>
      </c>
      <c r="B18" s="428" t="inlineStr">
        <is>
          <t xml:space="preserve">(-) Produits provenant des entités financières exclues du périmètre de consolidation prudentiel aux fins du calcul des exigences de fonds propres 
</t>
        </is>
      </c>
      <c r="C18" s="429" t="n"/>
      <c r="D18" s="429" t="n"/>
      <c r="E18" s="429" t="n"/>
      <c r="F18" s="429" t="n"/>
      <c r="G18" s="429" t="n"/>
      <c r="H18" s="429" t="n"/>
      <c r="I18" s="429" t="n"/>
      <c r="J18" s="429" t="n"/>
      <c r="K18" s="429" t="n"/>
    </row>
    <row r="19" ht="20" customFormat="1" customHeight="1" s="420">
      <c r="A19" s="431" t="inlineStr">
        <is>
          <t>RO026</t>
        </is>
      </c>
      <c r="B19" s="432" t="inlineStr">
        <is>
          <t>Total</t>
        </is>
      </c>
      <c r="C19" s="433" t="n">
        <v>0</v>
      </c>
      <c r="D19" s="433" t="n">
        <v>0</v>
      </c>
      <c r="E19" s="433" t="n">
        <v>0</v>
      </c>
      <c r="F19" s="433" t="n">
        <v>0</v>
      </c>
      <c r="G19" s="433" t="n">
        <v>0</v>
      </c>
      <c r="H19" s="433" t="n">
        <v>0</v>
      </c>
      <c r="I19" s="433" t="n">
        <v>0</v>
      </c>
      <c r="J19" s="433" t="n">
        <v>0</v>
      </c>
      <c r="K19" s="433" t="n">
        <v>0</v>
      </c>
    </row>
    <row r="20" ht="9" customHeight="1" s="885">
      <c r="A20" s="434" t="n"/>
    </row>
    <row r="21" ht="9" customHeight="1" s="885">
      <c r="A21" s="434" t="n"/>
    </row>
    <row r="22" ht="27.75" customHeight="1" s="885">
      <c r="A22" s="435" t="inlineStr">
        <is>
          <t>B. Calcul des actifs pondérés au titre du risque opérationnel</t>
        </is>
      </c>
    </row>
    <row r="23" ht="9" customHeight="1" s="885">
      <c r="A23" s="434" t="n"/>
    </row>
    <row r="24" ht="25.5" customHeight="1" s="885">
      <c r="A24" s="804" t="inlineStr">
        <is>
          <t>Code DISPRU</t>
        </is>
      </c>
      <c r="B24" s="805" t="inlineStr">
        <is>
          <t>Activités</t>
        </is>
      </c>
      <c r="C24" s="806" t="inlineStr">
        <is>
          <t>Beta</t>
        </is>
      </c>
      <c r="D24" s="801" t="inlineStr">
        <is>
          <t>ANNÉE-3</t>
        </is>
      </c>
      <c r="E24" s="929" t="n"/>
      <c r="F24" s="801" t="inlineStr">
        <is>
          <t>ANNÉE-2</t>
        </is>
      </c>
      <c r="G24" s="929" t="n"/>
      <c r="H24" s="801" t="inlineStr">
        <is>
          <t>ANNÉE-1</t>
        </is>
      </c>
      <c r="I24" s="929" t="n"/>
      <c r="J24" s="436" t="n"/>
    </row>
    <row r="25" ht="33" customHeight="1" s="885">
      <c r="A25" s="896" t="n"/>
      <c r="B25" s="896" t="n"/>
      <c r="C25" s="962" t="n"/>
      <c r="D25" s="437" t="inlineStr">
        <is>
          <t>Produit brut</t>
        </is>
      </c>
      <c r="E25" s="437" t="inlineStr">
        <is>
          <t xml:space="preserve">Exigences </t>
        </is>
      </c>
      <c r="F25" s="437" t="inlineStr">
        <is>
          <t>Produit brut</t>
        </is>
      </c>
      <c r="G25" s="437" t="inlineStr">
        <is>
          <t xml:space="preserve">Exigences </t>
        </is>
      </c>
      <c r="H25" s="437" t="inlineStr">
        <is>
          <t>Produit brut</t>
        </is>
      </c>
      <c r="I25" s="437" t="inlineStr">
        <is>
          <t xml:space="preserve">Exigences </t>
        </is>
      </c>
      <c r="J25" s="438" t="n"/>
    </row>
    <row r="26" ht="49.5" customHeight="1" s="885">
      <c r="A26" s="427" t="n"/>
      <c r="B26" s="439" t="n"/>
      <c r="C26" s="440" t="inlineStr">
        <is>
          <t>(a)</t>
        </is>
      </c>
      <c r="D26" s="440" t="inlineStr">
        <is>
          <t>(b)</t>
        </is>
      </c>
      <c r="E26" s="440" t="inlineStr">
        <is>
          <t>(c)=a x b</t>
        </is>
      </c>
      <c r="F26" s="440" t="inlineStr">
        <is>
          <t>(d)</t>
        </is>
      </c>
      <c r="G26" s="440" t="inlineStr">
        <is>
          <t>(e)=a x d</t>
        </is>
      </c>
      <c r="H26" s="440" t="inlineStr">
        <is>
          <t>(f)</t>
        </is>
      </c>
      <c r="I26" s="440" t="inlineStr">
        <is>
          <t>(g)=a x f</t>
        </is>
      </c>
      <c r="J26" s="438" t="n"/>
    </row>
    <row r="27" ht="42" customHeight="1" s="885">
      <c r="A27" s="427" t="inlineStr">
        <is>
          <t>RO027</t>
        </is>
      </c>
      <c r="B27" s="441" t="inlineStr">
        <is>
          <t>Financement d'entreprise</t>
        </is>
      </c>
      <c r="C27" s="987" t="n">
        <v>0.18</v>
      </c>
      <c r="D27" s="429" t="n"/>
      <c r="E27" s="429" t="n">
        <v>0</v>
      </c>
      <c r="F27" s="429" t="n"/>
      <c r="G27" s="429" t="n">
        <v>0</v>
      </c>
      <c r="H27" s="429" t="n">
        <v>0</v>
      </c>
      <c r="I27" s="429" t="n">
        <v>0</v>
      </c>
      <c r="J27" s="438" t="n"/>
    </row>
    <row r="28" ht="42" customHeight="1" s="885">
      <c r="A28" s="427" t="inlineStr">
        <is>
          <t>RO028</t>
        </is>
      </c>
      <c r="B28" s="441" t="inlineStr">
        <is>
          <t>Activités de marché</t>
        </is>
      </c>
      <c r="C28" s="987" t="n">
        <v>0.18</v>
      </c>
      <c r="D28" s="429" t="n"/>
      <c r="E28" s="429" t="n">
        <v>0</v>
      </c>
      <c r="F28" s="429" t="n"/>
      <c r="G28" s="429" t="n">
        <v>0</v>
      </c>
      <c r="H28" s="429" t="n">
        <v>0</v>
      </c>
      <c r="I28" s="429" t="n">
        <v>0</v>
      </c>
      <c r="J28" s="438" t="n"/>
    </row>
    <row r="29" ht="42" customHeight="1" s="885">
      <c r="A29" s="427" t="inlineStr">
        <is>
          <t>RO029</t>
        </is>
      </c>
      <c r="B29" s="441" t="inlineStr">
        <is>
          <t>Banque de détail</t>
        </is>
      </c>
      <c r="C29" s="987" t="n">
        <v>0.12</v>
      </c>
      <c r="D29" s="429" t="n"/>
      <c r="E29" s="429" t="n">
        <v>0</v>
      </c>
      <c r="F29" s="429" t="n"/>
      <c r="G29" s="429" t="n">
        <v>0</v>
      </c>
      <c r="H29" s="429" t="n">
        <v>0</v>
      </c>
      <c r="I29" s="429" t="n">
        <v>0</v>
      </c>
      <c r="J29" s="438" t="n"/>
    </row>
    <row r="30" ht="42" customHeight="1" s="885">
      <c r="A30" s="427" t="inlineStr">
        <is>
          <t>RO030</t>
        </is>
      </c>
      <c r="B30" s="441" t="inlineStr">
        <is>
          <t>Banque Commerciale</t>
        </is>
      </c>
      <c r="C30" s="987" t="n">
        <v>0.15</v>
      </c>
      <c r="D30" s="429" t="n"/>
      <c r="E30" s="429" t="n">
        <v>0</v>
      </c>
      <c r="F30" s="429" t="n"/>
      <c r="G30" s="429" t="n">
        <v>0</v>
      </c>
      <c r="H30" s="429" t="n">
        <v>0</v>
      </c>
      <c r="I30" s="429" t="n">
        <v>0</v>
      </c>
      <c r="J30" s="438" t="n"/>
    </row>
    <row r="31" ht="42" customHeight="1" s="885">
      <c r="A31" s="427" t="inlineStr">
        <is>
          <t>RO031</t>
        </is>
      </c>
      <c r="B31" s="441" t="inlineStr">
        <is>
          <t>Paiements et règlements</t>
        </is>
      </c>
      <c r="C31" s="987" t="n">
        <v>0.18</v>
      </c>
      <c r="D31" s="429" t="n"/>
      <c r="E31" s="429" t="n">
        <v>0</v>
      </c>
      <c r="F31" s="429" t="n"/>
      <c r="G31" s="429" t="n">
        <v>0</v>
      </c>
      <c r="H31" s="429" t="n">
        <v>0</v>
      </c>
      <c r="I31" s="429" t="n">
        <v>0</v>
      </c>
      <c r="J31" s="438" t="n"/>
    </row>
    <row r="32" ht="42" customHeight="1" s="885">
      <c r="A32" s="427" t="inlineStr">
        <is>
          <t>RO032</t>
        </is>
      </c>
      <c r="B32" s="441" t="inlineStr">
        <is>
          <t>Fonctions d'agent</t>
        </is>
      </c>
      <c r="C32" s="987" t="n">
        <v>0.15</v>
      </c>
      <c r="D32" s="429" t="n"/>
      <c r="E32" s="429" t="n">
        <v>0</v>
      </c>
      <c r="F32" s="429" t="n"/>
      <c r="G32" s="429" t="n">
        <v>0</v>
      </c>
      <c r="H32" s="429" t="n">
        <v>0</v>
      </c>
      <c r="I32" s="429" t="n">
        <v>0</v>
      </c>
      <c r="J32" s="438" t="n"/>
    </row>
    <row r="33" ht="42" customHeight="1" s="885">
      <c r="A33" s="427" t="inlineStr">
        <is>
          <t>RO033</t>
        </is>
      </c>
      <c r="B33" s="441" t="inlineStr">
        <is>
          <t>Gestion d'actifs</t>
        </is>
      </c>
      <c r="C33" s="987" t="n">
        <v>0.12</v>
      </c>
      <c r="D33" s="429" t="n"/>
      <c r="E33" s="429" t="n">
        <v>0</v>
      </c>
      <c r="F33" s="429" t="n"/>
      <c r="G33" s="429" t="n">
        <v>0</v>
      </c>
      <c r="H33" s="429" t="n">
        <v>0</v>
      </c>
      <c r="I33" s="429" t="n">
        <v>0</v>
      </c>
      <c r="J33" s="438" t="n"/>
    </row>
    <row r="34" ht="42" customHeight="1" s="885">
      <c r="A34" s="427" t="inlineStr">
        <is>
          <t>RO034</t>
        </is>
      </c>
      <c r="B34" s="441" t="inlineStr">
        <is>
          <t>Courtage de détail</t>
        </is>
      </c>
      <c r="C34" s="987" t="n">
        <v>0.12</v>
      </c>
      <c r="D34" s="429" t="n"/>
      <c r="E34" s="429" t="n">
        <v>0</v>
      </c>
      <c r="F34" s="429" t="n"/>
      <c r="G34" s="429" t="n">
        <v>0</v>
      </c>
      <c r="H34" s="429" t="n">
        <v>0</v>
      </c>
      <c r="I34" s="429" t="n">
        <v>0</v>
      </c>
      <c r="J34" s="438" t="n"/>
    </row>
    <row r="35" ht="55.5" customFormat="1" customHeight="1" s="420">
      <c r="A35" s="427" t="inlineStr">
        <is>
          <t>RO035</t>
        </is>
      </c>
      <c r="B35" s="988" t="inlineStr">
        <is>
          <t>Total – Secteurs d'activités
(total ou zéro, le plus élevé étant retenu)</t>
        </is>
      </c>
      <c r="C35" s="987" t="n"/>
      <c r="D35" s="429" t="n">
        <v>0</v>
      </c>
      <c r="E35" s="429" t="n">
        <v>0</v>
      </c>
      <c r="F35" s="429" t="n">
        <v>0</v>
      </c>
      <c r="G35" s="429" t="n">
        <v>0</v>
      </c>
      <c r="H35" s="429" t="n">
        <v>0</v>
      </c>
      <c r="I35" s="429" t="n">
        <v>0</v>
      </c>
      <c r="J35" s="438" t="n"/>
    </row>
    <row r="36" ht="9" customHeight="1" s="885">
      <c r="A36" s="434" t="n"/>
    </row>
    <row r="37" ht="35.25" customFormat="1" customHeight="1" s="420">
      <c r="A37" s="427" t="inlineStr">
        <is>
          <t>RO036</t>
        </is>
      </c>
      <c r="B37" s="802" t="inlineStr">
        <is>
          <t>Exigences de fonds propres</t>
        </is>
      </c>
      <c r="C37" s="894" t="n"/>
      <c r="D37" s="894" t="n"/>
      <c r="E37" s="895" t="n"/>
      <c r="F37" s="803" t="inlineStr">
        <is>
          <t>(h)= Moyenne des totaux  c, e et g</t>
        </is>
      </c>
      <c r="G37" s="894" t="n"/>
      <c r="H37" s="895" t="n"/>
      <c r="I37" s="429" t="n">
        <v>0</v>
      </c>
    </row>
    <row r="38" ht="35.25" customFormat="1" customHeight="1" s="420">
      <c r="A38" s="427" t="inlineStr">
        <is>
          <t>RO037</t>
        </is>
      </c>
      <c r="B38" s="802" t="inlineStr">
        <is>
          <t>Actifs pondérés des risques</t>
        </is>
      </c>
      <c r="C38" s="894" t="n"/>
      <c r="D38" s="894" t="n"/>
      <c r="E38" s="895" t="n"/>
      <c r="F38" s="803" t="inlineStr">
        <is>
          <t>(i)= h x 12,5</t>
        </is>
      </c>
      <c r="G38" s="894" t="n"/>
      <c r="H38" s="895" t="n"/>
      <c r="I38" s="429" t="n">
        <v>0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+9MQyaybyoGNMTNYDC6QuQ==" formatRows="1" sort="1" spinCount="100000" hashValue="N3RmKBTu4w60fChttknITA7/DWX/izs+5tfkuzwErAZ1SYwnNOrQZjT6VEoHO/MFvs+FtH1dDzSkru5YsO9bCA=="/>
  <mergeCells count="15">
    <mergeCell ref="F38:H38"/>
    <mergeCell ref="A1:J1"/>
    <mergeCell ref="A24:A25"/>
    <mergeCell ref="D24:E24"/>
    <mergeCell ref="F24:G24"/>
    <mergeCell ref="H24:I24"/>
    <mergeCell ref="C10:J10"/>
    <mergeCell ref="B38:E38"/>
    <mergeCell ref="A10:A11"/>
    <mergeCell ref="C24:C25"/>
    <mergeCell ref="B24:B25"/>
    <mergeCell ref="B37:E37"/>
    <mergeCell ref="B10:B11"/>
    <mergeCell ref="F37:H37"/>
    <mergeCell ref="K10:K11"/>
  </mergeCells>
  <pageMargins left="0.708333333333333" right="0.708333333333333" top="0.747916666666667" bottom="0.747916666666667" header="0.511811023622047" footer="0.315277777777778"/>
  <pageSetup orientation="landscape" paperSize="9" scale="38" horizontalDpi="300" verticalDpi="300"/>
  <headerFooter>
    <oddHeader/>
    <oddFooter>&amp;R&amp;P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K51"/>
  <sheetViews>
    <sheetView view="pageBreakPreview" topLeftCell="A5" zoomScale="70" zoomScaleNormal="70" zoomScaleSheetLayoutView="70" workbookViewId="0">
      <selection activeCell="B8" sqref="B8:C9"/>
    </sheetView>
  </sheetViews>
  <sheetFormatPr baseColWidth="10" defaultColWidth="10" defaultRowHeight="17.25" customHeight="1"/>
  <cols>
    <col collapsed="1" width="11.7265625" customWidth="1" style="444" min="1" max="1"/>
    <col collapsed="1" width="20.36328125" customWidth="1" style="445" min="2" max="2"/>
    <col collapsed="1" width="28.54296875" customWidth="1" style="446" min="3" max="3"/>
    <col collapsed="1" width="14.7265625" customWidth="1" style="777" min="4" max="6"/>
    <col collapsed="1" width="16.1796875" customWidth="1" style="777" min="7" max="7"/>
    <col collapsed="1" width="15.6328125" customWidth="1" style="777" min="8" max="8"/>
    <col collapsed="1" width="16.90625" customWidth="1" style="777" min="9" max="9"/>
    <col collapsed="1" width="17.7265625" customWidth="1" style="777" min="10" max="10"/>
    <col collapsed="1" width="16.08984375" customWidth="1" style="777" min="11" max="11"/>
    <col collapsed="1" width="13.1796875" customWidth="1" style="777" min="12" max="13"/>
    <col collapsed="1" width="10" customWidth="1" style="777" min="14" max="16384"/>
  </cols>
  <sheetData>
    <row r="1" ht="29.25" customFormat="1" customHeight="1" s="770">
      <c r="A1" s="767" t="inlineStr">
        <is>
          <t xml:space="preserve">RISQUE OPERATIONNEL :  COLLECTE DES DONNEES DE PERTES AU TITRE DE L'APPROCHE STANDARD 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964" t="inlineStr">
        <is>
          <t>EP24</t>
        </is>
      </c>
    </row>
    <row r="2" ht="31.5" customHeight="1" s="885">
      <c r="A2" s="777" t="n"/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Format="1" customHeight="1" s="770">
      <c r="B7" s="302" t="n"/>
      <c r="C7" s="302" t="n"/>
      <c r="D7" s="302" t="n"/>
      <c r="E7" s="302" t="n"/>
      <c r="F7" s="302" t="n"/>
      <c r="G7" s="302" t="n"/>
      <c r="H7" s="302" t="n"/>
    </row>
    <row r="8" ht="50.25" customFormat="1" customHeight="1" s="444">
      <c r="A8" s="813" t="inlineStr">
        <is>
          <t>Code DISPRU</t>
        </is>
      </c>
      <c r="B8" s="814" t="inlineStr">
        <is>
          <t>Mise en correspondance des pertes avec les lignes de metier</t>
        </is>
      </c>
      <c r="C8" s="929" t="n"/>
      <c r="D8" s="815" t="inlineStr">
        <is>
          <t>Catégories d'évènement</t>
        </is>
      </c>
      <c r="E8" s="894" t="n"/>
      <c r="F8" s="894" t="n"/>
      <c r="G8" s="894" t="n"/>
      <c r="H8" s="894" t="n"/>
      <c r="I8" s="894" t="n"/>
      <c r="J8" s="895" t="n"/>
      <c r="K8" s="816" t="inlineStr">
        <is>
          <t>Total</t>
        </is>
      </c>
      <c r="L8" s="800" t="inlineStr">
        <is>
          <t>Seuil appliqué pour la collecte des pertes</t>
        </is>
      </c>
      <c r="M8" s="895" t="n"/>
    </row>
    <row r="9" ht="126" customFormat="1" customHeight="1" s="444">
      <c r="A9" s="896" t="n"/>
      <c r="B9" s="962" t="n"/>
      <c r="C9" s="897" t="n"/>
      <c r="D9" s="447" t="inlineStr">
        <is>
          <t>Fraude interne</t>
        </is>
      </c>
      <c r="E9" s="447" t="inlineStr">
        <is>
          <t>Fraude externe</t>
        </is>
      </c>
      <c r="F9" s="447" t="inlineStr">
        <is>
          <t>Pratiques en matière d'emploi et de sécurité sur le lieu travail</t>
        </is>
      </c>
      <c r="G9" s="447" t="inlineStr">
        <is>
          <t>Pratiques concernant les clients, les produits et l’activité commerciale</t>
        </is>
      </c>
      <c r="H9" s="447" t="inlineStr">
        <is>
          <t>Dommages occasionnés aux actifs physiques</t>
        </is>
      </c>
      <c r="I9" s="447" t="inlineStr">
        <is>
          <t>Interruptions d'activités et défaillances des systèmes</t>
        </is>
      </c>
      <c r="J9" s="447" t="inlineStr">
        <is>
          <t xml:space="preserve">Exécution des opérations, livraisons et gestion des processus
 </t>
        </is>
      </c>
      <c r="K9" s="958" t="n"/>
      <c r="L9" s="448" t="inlineStr">
        <is>
          <t>Le plus élevé</t>
        </is>
      </c>
      <c r="M9" s="448" t="inlineStr">
        <is>
          <t>Le plus bas</t>
        </is>
      </c>
    </row>
    <row r="10" ht="20" customFormat="1" customHeight="1" s="444">
      <c r="A10" s="813" t="n"/>
      <c r="B10" s="894" t="n"/>
      <c r="C10" s="895" t="n"/>
      <c r="D10" s="449" t="inlineStr">
        <is>
          <t>(a)</t>
        </is>
      </c>
      <c r="E10" s="449" t="inlineStr">
        <is>
          <t>(b)</t>
        </is>
      </c>
      <c r="F10" s="450" t="inlineStr">
        <is>
          <t>(c)</t>
        </is>
      </c>
      <c r="G10" s="449" t="inlineStr">
        <is>
          <t>(d)</t>
        </is>
      </c>
      <c r="H10" s="449" t="inlineStr">
        <is>
          <t>(e)</t>
        </is>
      </c>
      <c r="I10" s="449" t="inlineStr">
        <is>
          <t>(f)</t>
        </is>
      </c>
      <c r="J10" s="449" t="inlineStr">
        <is>
          <t>(g)</t>
        </is>
      </c>
      <c r="K10" s="449" t="inlineStr">
        <is>
          <t>(h)</t>
        </is>
      </c>
      <c r="L10" s="449" t="inlineStr">
        <is>
          <t>(i)</t>
        </is>
      </c>
      <c r="M10" s="449" t="inlineStr">
        <is>
          <t>(j)</t>
        </is>
      </c>
    </row>
    <row r="11" ht="22.5" customHeight="1" s="885">
      <c r="A11" s="427" t="inlineStr">
        <is>
          <t>RO038</t>
        </is>
      </c>
      <c r="B11" s="811" t="inlineStr">
        <is>
          <t>Financement d'entreprise</t>
        </is>
      </c>
      <c r="C11" s="451" t="inlineStr">
        <is>
          <t>Nombre d'événements</t>
        </is>
      </c>
      <c r="D11" s="390" t="n"/>
      <c r="E11" s="390" t="n"/>
      <c r="F11" s="390" t="n"/>
      <c r="G11" s="390" t="n"/>
      <c r="H11" s="390" t="n"/>
      <c r="I11" s="390" t="n"/>
      <c r="J11" s="390" t="n"/>
      <c r="K11" s="390" t="n">
        <v>0</v>
      </c>
      <c r="L11" s="390" t="n"/>
      <c r="M11" s="390" t="n"/>
    </row>
    <row r="12" ht="22.5" customHeight="1" s="885">
      <c r="A12" s="427" t="inlineStr">
        <is>
          <t>RO039</t>
        </is>
      </c>
      <c r="B12" s="958" t="n"/>
      <c r="C12" s="451" t="inlineStr">
        <is>
          <t>Montant total des pertes</t>
        </is>
      </c>
      <c r="D12" s="390" t="n"/>
      <c r="E12" s="390" t="n"/>
      <c r="F12" s="390" t="n"/>
      <c r="G12" s="390" t="n"/>
      <c r="H12" s="390" t="n"/>
      <c r="I12" s="390" t="n"/>
      <c r="J12" s="390" t="n"/>
      <c r="K12" s="390" t="n">
        <v>0</v>
      </c>
      <c r="L12" s="390" t="n">
        <v>1</v>
      </c>
      <c r="M12" s="390" t="n"/>
    </row>
    <row r="13" ht="37.5" customHeight="1" s="885">
      <c r="A13" s="427" t="inlineStr">
        <is>
          <t>RO040</t>
        </is>
      </c>
      <c r="B13" s="958" t="n"/>
      <c r="C13" s="451" t="inlineStr">
        <is>
          <t>Perte maximale dans cette ligne de métier</t>
        </is>
      </c>
      <c r="D13" s="390" t="n"/>
      <c r="E13" s="390" t="n"/>
      <c r="F13" s="390" t="n"/>
      <c r="G13" s="390" t="n"/>
      <c r="H13" s="390" t="n"/>
      <c r="I13" s="390" t="n"/>
      <c r="J13" s="390" t="n"/>
      <c r="K13" s="390" t="n">
        <v>0</v>
      </c>
      <c r="L13" s="390" t="n"/>
      <c r="M13" s="390" t="n"/>
    </row>
    <row r="14" ht="37.5" customHeight="1" s="885">
      <c r="A14" s="427" t="inlineStr">
        <is>
          <t>RO041</t>
        </is>
      </c>
      <c r="B14" s="896" t="n"/>
      <c r="C14" s="451" t="inlineStr">
        <is>
          <t>Total des cinq plus grandes pertes</t>
        </is>
      </c>
      <c r="D14" s="390" t="n"/>
      <c r="E14" s="390" t="n"/>
      <c r="F14" s="390" t="n"/>
      <c r="G14" s="390" t="n"/>
      <c r="H14" s="390" t="n"/>
      <c r="I14" s="390" t="n"/>
      <c r="J14" s="390" t="n"/>
      <c r="K14" s="390" t="n">
        <v>0</v>
      </c>
      <c r="L14" s="390" t="n"/>
      <c r="M14" s="390" t="n"/>
    </row>
    <row r="15" ht="22.5" customHeight="1" s="885">
      <c r="A15" s="427" t="inlineStr">
        <is>
          <t>RO042</t>
        </is>
      </c>
      <c r="B15" s="811" t="inlineStr">
        <is>
          <t>Activités de marché</t>
        </is>
      </c>
      <c r="C15" s="451" t="inlineStr">
        <is>
          <t>Nombre d'événements</t>
        </is>
      </c>
      <c r="D15" s="390" t="n"/>
      <c r="E15" s="390" t="n"/>
      <c r="F15" s="390" t="n"/>
      <c r="G15" s="390" t="n"/>
      <c r="H15" s="390" t="n"/>
      <c r="I15" s="390" t="n"/>
      <c r="J15" s="390" t="n"/>
      <c r="K15" s="390" t="n">
        <v>0</v>
      </c>
      <c r="L15" s="390" t="n"/>
      <c r="M15" s="390" t="n"/>
    </row>
    <row r="16" ht="22.5" customHeight="1" s="885">
      <c r="A16" s="427" t="inlineStr">
        <is>
          <t>RO043</t>
        </is>
      </c>
      <c r="B16" s="958" t="n"/>
      <c r="C16" s="451" t="inlineStr">
        <is>
          <t>Montant total des pertes</t>
        </is>
      </c>
      <c r="D16" s="390" t="n"/>
      <c r="E16" s="390" t="n"/>
      <c r="F16" s="390" t="n"/>
      <c r="G16" s="390" t="n"/>
      <c r="H16" s="390" t="n"/>
      <c r="I16" s="390" t="n"/>
      <c r="J16" s="390" t="n"/>
      <c r="K16" s="390" t="n">
        <v>0</v>
      </c>
      <c r="L16" s="390" t="n">
        <v>1</v>
      </c>
      <c r="M16" s="390" t="n"/>
    </row>
    <row r="17" ht="37.5" customHeight="1" s="885">
      <c r="A17" s="427" t="inlineStr">
        <is>
          <t>RO044</t>
        </is>
      </c>
      <c r="B17" s="958" t="n"/>
      <c r="C17" s="451" t="inlineStr">
        <is>
          <t>Perte maximale dans cette ligne de métier</t>
        </is>
      </c>
      <c r="D17" s="390" t="n"/>
      <c r="E17" s="390" t="n"/>
      <c r="F17" s="390" t="n"/>
      <c r="G17" s="390" t="n"/>
      <c r="H17" s="390" t="n"/>
      <c r="I17" s="390" t="n"/>
      <c r="J17" s="390" t="n"/>
      <c r="K17" s="390" t="n">
        <v>0</v>
      </c>
      <c r="L17" s="390" t="n"/>
      <c r="M17" s="390" t="n"/>
    </row>
    <row r="18" ht="37.5" customHeight="1" s="885">
      <c r="A18" s="427" t="inlineStr">
        <is>
          <t>RO045</t>
        </is>
      </c>
      <c r="B18" s="896" t="n"/>
      <c r="C18" s="451" t="inlineStr">
        <is>
          <t>Total des cinq plus grandes pertes</t>
        </is>
      </c>
      <c r="D18" s="390" t="n"/>
      <c r="E18" s="390" t="n"/>
      <c r="F18" s="390" t="n"/>
      <c r="G18" s="390" t="n"/>
      <c r="H18" s="390" t="n"/>
      <c r="I18" s="390" t="n"/>
      <c r="J18" s="390" t="n"/>
      <c r="K18" s="390" t="n">
        <v>0</v>
      </c>
      <c r="L18" s="390" t="n"/>
      <c r="M18" s="390" t="n"/>
    </row>
    <row r="19" ht="22.5" customHeight="1" s="885">
      <c r="A19" s="427" t="inlineStr">
        <is>
          <t>RO046</t>
        </is>
      </c>
      <c r="B19" s="812" t="inlineStr">
        <is>
          <t>Banque de détail</t>
        </is>
      </c>
      <c r="C19" s="451" t="inlineStr">
        <is>
          <t>Nombre d'événements</t>
        </is>
      </c>
      <c r="D19" s="390" t="n"/>
      <c r="E19" s="390" t="n"/>
      <c r="F19" s="390" t="n"/>
      <c r="G19" s="390" t="n"/>
      <c r="H19" s="390" t="n"/>
      <c r="I19" s="390" t="n"/>
      <c r="J19" s="390" t="n"/>
      <c r="K19" s="390" t="n">
        <v>0</v>
      </c>
      <c r="L19" s="390" t="n"/>
      <c r="M19" s="390" t="n"/>
    </row>
    <row r="20" ht="22.5" customHeight="1" s="885">
      <c r="A20" s="427" t="inlineStr">
        <is>
          <t>RO047</t>
        </is>
      </c>
      <c r="B20" s="958" t="n"/>
      <c r="C20" s="451" t="inlineStr">
        <is>
          <t>Montant total des pertes</t>
        </is>
      </c>
      <c r="D20" s="390" t="n"/>
      <c r="E20" s="390" t="n"/>
      <c r="F20" s="390" t="n"/>
      <c r="G20" s="390" t="n"/>
      <c r="H20" s="390" t="n"/>
      <c r="I20" s="390" t="n"/>
      <c r="J20" s="390" t="n"/>
      <c r="K20" s="390" t="n">
        <v>0</v>
      </c>
      <c r="L20" s="390" t="n">
        <v>1</v>
      </c>
      <c r="M20" s="390" t="n"/>
    </row>
    <row r="21" ht="37.5" customHeight="1" s="885">
      <c r="A21" s="427" t="inlineStr">
        <is>
          <t>RO048</t>
        </is>
      </c>
      <c r="B21" s="958" t="n"/>
      <c r="C21" s="451" t="inlineStr">
        <is>
          <t>Perte maximale dans cette ligne de métier</t>
        </is>
      </c>
      <c r="D21" s="390" t="n"/>
      <c r="E21" s="390" t="n"/>
      <c r="F21" s="390" t="n"/>
      <c r="G21" s="390" t="n"/>
      <c r="H21" s="390" t="n"/>
      <c r="I21" s="390" t="n"/>
      <c r="J21" s="390" t="n"/>
      <c r="K21" s="390" t="n">
        <v>0</v>
      </c>
      <c r="L21" s="390" t="n"/>
      <c r="M21" s="390" t="n"/>
    </row>
    <row r="22" ht="37.5" customHeight="1" s="885">
      <c r="A22" s="427" t="inlineStr">
        <is>
          <t>RO049</t>
        </is>
      </c>
      <c r="B22" s="896" t="n"/>
      <c r="C22" s="451" t="inlineStr">
        <is>
          <t>Total des cinq plus grandes pertes</t>
        </is>
      </c>
      <c r="D22" s="390" t="n"/>
      <c r="E22" s="390" t="n"/>
      <c r="F22" s="390" t="n"/>
      <c r="G22" s="390" t="n"/>
      <c r="H22" s="390" t="n"/>
      <c r="I22" s="390" t="n"/>
      <c r="J22" s="390" t="n"/>
      <c r="K22" s="390" t="n">
        <v>0</v>
      </c>
      <c r="L22" s="390" t="n"/>
      <c r="M22" s="390" t="n"/>
    </row>
    <row r="23" ht="22.5" customHeight="1" s="885">
      <c r="A23" s="427" t="inlineStr">
        <is>
          <t>RO050</t>
        </is>
      </c>
      <c r="B23" s="812" t="inlineStr">
        <is>
          <t>Banque Commerciale</t>
        </is>
      </c>
      <c r="C23" s="451" t="inlineStr">
        <is>
          <t>Nombre d'événements</t>
        </is>
      </c>
      <c r="D23" s="390" t="n"/>
      <c r="E23" s="390" t="n"/>
      <c r="F23" s="390" t="n"/>
      <c r="G23" s="390" t="n"/>
      <c r="H23" s="390" t="n"/>
      <c r="I23" s="390" t="n"/>
      <c r="J23" s="390" t="n"/>
      <c r="K23" s="390" t="n">
        <v>0</v>
      </c>
      <c r="L23" s="390" t="n"/>
      <c r="M23" s="390" t="n"/>
    </row>
    <row r="24" ht="22.5" customHeight="1" s="885">
      <c r="A24" s="427" t="inlineStr">
        <is>
          <t>RO051</t>
        </is>
      </c>
      <c r="B24" s="958" t="n"/>
      <c r="C24" s="451" t="inlineStr">
        <is>
          <t>Montant total des pertes</t>
        </is>
      </c>
      <c r="D24" s="390" t="n"/>
      <c r="E24" s="390" t="n"/>
      <c r="F24" s="390" t="n"/>
      <c r="G24" s="390" t="n"/>
      <c r="H24" s="390" t="n"/>
      <c r="I24" s="390" t="n"/>
      <c r="J24" s="390" t="n"/>
      <c r="K24" s="390" t="n">
        <v>0</v>
      </c>
      <c r="L24" s="390" t="n">
        <v>1</v>
      </c>
      <c r="M24" s="390" t="n"/>
    </row>
    <row r="25" ht="37.5" customHeight="1" s="885">
      <c r="A25" s="427" t="inlineStr">
        <is>
          <t>RO052</t>
        </is>
      </c>
      <c r="B25" s="958" t="n"/>
      <c r="C25" s="451" t="inlineStr">
        <is>
          <t>Perte maximale dans cette ligne de métier</t>
        </is>
      </c>
      <c r="D25" s="390" t="n"/>
      <c r="E25" s="390" t="n"/>
      <c r="F25" s="390" t="n"/>
      <c r="G25" s="390" t="n"/>
      <c r="H25" s="390" t="n"/>
      <c r="I25" s="390" t="n"/>
      <c r="J25" s="390" t="n"/>
      <c r="K25" s="390" t="n">
        <v>0</v>
      </c>
      <c r="L25" s="390" t="n"/>
      <c r="M25" s="390" t="n"/>
    </row>
    <row r="26" ht="37.5" customHeight="1" s="885">
      <c r="A26" s="427" t="inlineStr">
        <is>
          <t>RO053</t>
        </is>
      </c>
      <c r="B26" s="896" t="n"/>
      <c r="C26" s="451" t="inlineStr">
        <is>
          <t>Total des cinq plus grandes pertes</t>
        </is>
      </c>
      <c r="D26" s="390" t="n"/>
      <c r="E26" s="390" t="n"/>
      <c r="F26" s="390" t="n"/>
      <c r="G26" s="390" t="n"/>
      <c r="H26" s="390" t="n"/>
      <c r="I26" s="390" t="n"/>
      <c r="J26" s="390" t="n"/>
      <c r="K26" s="390" t="n">
        <v>0</v>
      </c>
      <c r="L26" s="390" t="n"/>
      <c r="M26" s="390" t="n"/>
    </row>
    <row r="27" ht="22.5" customHeight="1" s="885">
      <c r="A27" s="427" t="inlineStr">
        <is>
          <t>RO054</t>
        </is>
      </c>
      <c r="B27" s="811" t="inlineStr">
        <is>
          <t>Paiements et règlements</t>
        </is>
      </c>
      <c r="C27" s="451" t="inlineStr">
        <is>
          <t>Nombre d'événements</t>
        </is>
      </c>
      <c r="D27" s="390" t="n"/>
      <c r="E27" s="390" t="n"/>
      <c r="F27" s="390" t="n"/>
      <c r="G27" s="390" t="n"/>
      <c r="H27" s="390" t="n"/>
      <c r="I27" s="390" t="n"/>
      <c r="J27" s="390" t="n"/>
      <c r="K27" s="390" t="n">
        <v>0</v>
      </c>
      <c r="L27" s="390" t="n"/>
      <c r="M27" s="390" t="n"/>
    </row>
    <row r="28" ht="22.5" customHeight="1" s="885">
      <c r="A28" s="427" t="inlineStr">
        <is>
          <t>RO055</t>
        </is>
      </c>
      <c r="B28" s="958" t="n"/>
      <c r="C28" s="451" t="inlineStr">
        <is>
          <t>Montant total des pertes</t>
        </is>
      </c>
      <c r="D28" s="390" t="n"/>
      <c r="E28" s="390" t="n"/>
      <c r="F28" s="390" t="n"/>
      <c r="G28" s="390" t="n"/>
      <c r="H28" s="390" t="n"/>
      <c r="I28" s="390" t="n"/>
      <c r="J28" s="390" t="n"/>
      <c r="K28" s="390" t="n">
        <v>0</v>
      </c>
      <c r="L28" s="390" t="n">
        <v>1</v>
      </c>
      <c r="M28" s="390" t="n"/>
    </row>
    <row r="29" ht="37.5" customHeight="1" s="885">
      <c r="A29" s="427" t="inlineStr">
        <is>
          <t>RO056</t>
        </is>
      </c>
      <c r="B29" s="958" t="n"/>
      <c r="C29" s="451" t="inlineStr">
        <is>
          <t>Perte maximale dans cette ligne de métier</t>
        </is>
      </c>
      <c r="D29" s="390" t="n"/>
      <c r="E29" s="390" t="n"/>
      <c r="F29" s="390" t="n"/>
      <c r="G29" s="390" t="n"/>
      <c r="H29" s="390" t="n"/>
      <c r="I29" s="390" t="n"/>
      <c r="J29" s="390" t="n"/>
      <c r="K29" s="390" t="n">
        <v>0</v>
      </c>
      <c r="L29" s="390" t="n"/>
      <c r="M29" s="390" t="n"/>
    </row>
    <row r="30" ht="37.5" customHeight="1" s="885">
      <c r="A30" s="427" t="inlineStr">
        <is>
          <t>RO057</t>
        </is>
      </c>
      <c r="B30" s="896" t="n"/>
      <c r="C30" s="451" t="inlineStr">
        <is>
          <t>Total des cinq plus grandes pertes</t>
        </is>
      </c>
      <c r="D30" s="390" t="n"/>
      <c r="E30" s="390" t="n"/>
      <c r="F30" s="390" t="n"/>
      <c r="G30" s="390" t="n"/>
      <c r="H30" s="390" t="n"/>
      <c r="I30" s="390" t="n"/>
      <c r="J30" s="390" t="n"/>
      <c r="K30" s="390" t="n">
        <v>0</v>
      </c>
      <c r="L30" s="390" t="n"/>
      <c r="M30" s="390" t="n"/>
    </row>
    <row r="31" ht="22.5" customHeight="1" s="885">
      <c r="A31" s="427" t="inlineStr">
        <is>
          <t>RO058</t>
        </is>
      </c>
      <c r="B31" s="811" t="inlineStr">
        <is>
          <t>Fonctions d'agent</t>
        </is>
      </c>
      <c r="C31" s="451" t="inlineStr">
        <is>
          <t>Nombre d'événements</t>
        </is>
      </c>
      <c r="D31" s="390" t="n"/>
      <c r="E31" s="390" t="n"/>
      <c r="F31" s="390" t="n"/>
      <c r="G31" s="390" t="n"/>
      <c r="H31" s="390" t="n"/>
      <c r="I31" s="390" t="n"/>
      <c r="J31" s="390" t="n"/>
      <c r="K31" s="390" t="n">
        <v>0</v>
      </c>
      <c r="L31" s="390" t="n"/>
      <c r="M31" s="390" t="n"/>
    </row>
    <row r="32" ht="22.5" customHeight="1" s="885">
      <c r="A32" s="427" t="inlineStr">
        <is>
          <t>RO059</t>
        </is>
      </c>
      <c r="B32" s="958" t="n"/>
      <c r="C32" s="451" t="inlineStr">
        <is>
          <t>Montant total des pertes</t>
        </is>
      </c>
      <c r="D32" s="390" t="n"/>
      <c r="E32" s="390" t="n"/>
      <c r="F32" s="390" t="n"/>
      <c r="G32" s="390" t="n"/>
      <c r="H32" s="390" t="n"/>
      <c r="I32" s="390" t="n"/>
      <c r="J32" s="390" t="n"/>
      <c r="K32" s="390" t="n">
        <v>0</v>
      </c>
      <c r="L32" s="390" t="n">
        <v>1</v>
      </c>
      <c r="M32" s="390" t="n"/>
    </row>
    <row r="33" ht="37.5" customHeight="1" s="885">
      <c r="A33" s="427" t="inlineStr">
        <is>
          <t>RO060</t>
        </is>
      </c>
      <c r="B33" s="958" t="n"/>
      <c r="C33" s="451" t="inlineStr">
        <is>
          <t>Perte maximale dans cette ligne de métier</t>
        </is>
      </c>
      <c r="D33" s="390" t="n"/>
      <c r="E33" s="390" t="n"/>
      <c r="F33" s="390" t="n"/>
      <c r="G33" s="390" t="n"/>
      <c r="H33" s="390" t="n"/>
      <c r="I33" s="390" t="n"/>
      <c r="J33" s="390" t="n"/>
      <c r="K33" s="390" t="n">
        <v>0</v>
      </c>
      <c r="L33" s="390" t="n"/>
      <c r="M33" s="390" t="n"/>
    </row>
    <row r="34" ht="37.5" customHeight="1" s="885">
      <c r="A34" s="427" t="inlineStr">
        <is>
          <t>RO061</t>
        </is>
      </c>
      <c r="B34" s="896" t="n"/>
      <c r="C34" s="451" t="inlineStr">
        <is>
          <t>Total des cinq plus grandes pertes</t>
        </is>
      </c>
      <c r="D34" s="390" t="n"/>
      <c r="E34" s="390" t="n"/>
      <c r="F34" s="390" t="n"/>
      <c r="G34" s="390" t="n"/>
      <c r="H34" s="390" t="n"/>
      <c r="I34" s="390" t="n"/>
      <c r="J34" s="390" t="n"/>
      <c r="K34" s="390" t="n">
        <v>0</v>
      </c>
      <c r="L34" s="390" t="n"/>
      <c r="M34" s="390" t="n"/>
    </row>
    <row r="35" ht="22.5" customHeight="1" s="885">
      <c r="A35" s="427" t="inlineStr">
        <is>
          <t>RO062</t>
        </is>
      </c>
      <c r="B35" s="812" t="inlineStr">
        <is>
          <t>Gestion d'actifs</t>
        </is>
      </c>
      <c r="C35" s="451" t="inlineStr">
        <is>
          <t>Nombre d'événements</t>
        </is>
      </c>
      <c r="D35" s="390" t="n"/>
      <c r="E35" s="390" t="n"/>
      <c r="F35" s="390" t="n"/>
      <c r="G35" s="390" t="n"/>
      <c r="H35" s="390" t="n"/>
      <c r="I35" s="390" t="n"/>
      <c r="J35" s="390" t="n"/>
      <c r="K35" s="390" t="n">
        <v>0</v>
      </c>
      <c r="L35" s="390" t="n"/>
      <c r="M35" s="390" t="n"/>
    </row>
    <row r="36" ht="22.5" customHeight="1" s="885">
      <c r="A36" s="427" t="inlineStr">
        <is>
          <t>RO063</t>
        </is>
      </c>
      <c r="B36" s="958" t="n"/>
      <c r="C36" s="451" t="inlineStr">
        <is>
          <t>Montant total des pertes</t>
        </is>
      </c>
      <c r="D36" s="390" t="n"/>
      <c r="E36" s="390" t="n"/>
      <c r="F36" s="390" t="n"/>
      <c r="G36" s="390" t="n"/>
      <c r="H36" s="390" t="n"/>
      <c r="I36" s="390" t="n"/>
      <c r="J36" s="390" t="n"/>
      <c r="K36" s="390" t="n">
        <v>0</v>
      </c>
      <c r="L36" s="390" t="n">
        <v>1</v>
      </c>
      <c r="M36" s="390" t="n"/>
    </row>
    <row r="37" ht="37.5" customHeight="1" s="885">
      <c r="A37" s="427" t="inlineStr">
        <is>
          <t>RO064</t>
        </is>
      </c>
      <c r="B37" s="958" t="n"/>
      <c r="C37" s="451" t="inlineStr">
        <is>
          <t>Perte maximale dans cette ligne de métier</t>
        </is>
      </c>
      <c r="D37" s="390" t="n"/>
      <c r="E37" s="390" t="n"/>
      <c r="F37" s="390" t="n"/>
      <c r="G37" s="390" t="n"/>
      <c r="H37" s="390" t="n"/>
      <c r="I37" s="390" t="n"/>
      <c r="J37" s="390" t="n"/>
      <c r="K37" s="390" t="n">
        <v>0</v>
      </c>
      <c r="L37" s="390" t="n"/>
      <c r="M37" s="390" t="n"/>
    </row>
    <row r="38" ht="37.5" customHeight="1" s="885">
      <c r="A38" s="427" t="inlineStr">
        <is>
          <t>RO065</t>
        </is>
      </c>
      <c r="B38" s="896" t="n"/>
      <c r="C38" s="451" t="inlineStr">
        <is>
          <t>Total des cinq plus grandes pertes</t>
        </is>
      </c>
      <c r="D38" s="390" t="n"/>
      <c r="E38" s="390" t="n"/>
      <c r="F38" s="390" t="n"/>
      <c r="G38" s="390" t="n"/>
      <c r="H38" s="390" t="n"/>
      <c r="I38" s="390" t="n"/>
      <c r="J38" s="390" t="n"/>
      <c r="K38" s="390" t="n">
        <v>0</v>
      </c>
      <c r="L38" s="390" t="n"/>
      <c r="M38" s="390" t="n"/>
    </row>
    <row r="39" ht="22.5" customHeight="1" s="885">
      <c r="A39" s="427" t="inlineStr">
        <is>
          <t>RO066</t>
        </is>
      </c>
      <c r="B39" s="812" t="inlineStr">
        <is>
          <t>Courtage de détail</t>
        </is>
      </c>
      <c r="C39" s="451" t="inlineStr">
        <is>
          <t>Nombre d'événements</t>
        </is>
      </c>
      <c r="D39" s="390" t="n"/>
      <c r="E39" s="390" t="n"/>
      <c r="F39" s="390" t="n"/>
      <c r="G39" s="390" t="n"/>
      <c r="H39" s="390" t="n"/>
      <c r="I39" s="390" t="n"/>
      <c r="J39" s="390" t="n"/>
      <c r="K39" s="390" t="n">
        <v>0</v>
      </c>
      <c r="L39" s="390" t="n"/>
      <c r="M39" s="390" t="n"/>
    </row>
    <row r="40" ht="22.5" customHeight="1" s="885">
      <c r="A40" s="427" t="inlineStr">
        <is>
          <t>RO067</t>
        </is>
      </c>
      <c r="B40" s="958" t="n"/>
      <c r="C40" s="451" t="inlineStr">
        <is>
          <t>Montant total des pertes</t>
        </is>
      </c>
      <c r="D40" s="390" t="n"/>
      <c r="E40" s="390" t="n"/>
      <c r="F40" s="390" t="n"/>
      <c r="G40" s="390" t="n"/>
      <c r="H40" s="390" t="n"/>
      <c r="I40" s="390" t="n"/>
      <c r="J40" s="390" t="n"/>
      <c r="K40" s="390" t="n">
        <v>0</v>
      </c>
      <c r="L40" s="390" t="n">
        <v>1</v>
      </c>
      <c r="M40" s="390" t="n"/>
    </row>
    <row r="41" ht="37.5" customHeight="1" s="885">
      <c r="A41" s="427" t="inlineStr">
        <is>
          <t>RO068</t>
        </is>
      </c>
      <c r="B41" s="958" t="n"/>
      <c r="C41" s="451" t="inlineStr">
        <is>
          <t>Perte maximale dans cette ligne de métier</t>
        </is>
      </c>
      <c r="D41" s="390" t="n"/>
      <c r="E41" s="390" t="n"/>
      <c r="F41" s="390" t="n"/>
      <c r="G41" s="390" t="n"/>
      <c r="H41" s="390" t="n"/>
      <c r="I41" s="390" t="n"/>
      <c r="J41" s="390" t="n"/>
      <c r="K41" s="390" t="n">
        <v>0</v>
      </c>
      <c r="L41" s="390" t="n"/>
      <c r="M41" s="390" t="n"/>
    </row>
    <row r="42" ht="37.5" customHeight="1" s="885">
      <c r="A42" s="427" t="inlineStr">
        <is>
          <t>RO069</t>
        </is>
      </c>
      <c r="B42" s="896" t="n"/>
      <c r="C42" s="451" t="inlineStr">
        <is>
          <t>Total des cinq plus grandes pertes</t>
        </is>
      </c>
      <c r="D42" s="390" t="n"/>
      <c r="E42" s="390" t="n"/>
      <c r="F42" s="390" t="n"/>
      <c r="G42" s="390" t="n"/>
      <c r="H42" s="390" t="n"/>
      <c r="I42" s="390" t="n"/>
      <c r="J42" s="390" t="n"/>
      <c r="K42" s="390" t="n">
        <v>0</v>
      </c>
      <c r="L42" s="390" t="n"/>
      <c r="M42" s="390" t="n"/>
    </row>
    <row r="43" ht="22.5" customHeight="1" s="885">
      <c r="A43" s="427" t="inlineStr">
        <is>
          <t>RO070</t>
        </is>
      </c>
      <c r="B43" s="812" t="inlineStr">
        <is>
          <t>Total</t>
        </is>
      </c>
      <c r="C43" s="451" t="inlineStr">
        <is>
          <t>Nombre d'événements</t>
        </is>
      </c>
      <c r="D43" s="390" t="n">
        <v>0</v>
      </c>
      <c r="E43" s="390" t="n">
        <v>0</v>
      </c>
      <c r="F43" s="390" t="n">
        <v>0</v>
      </c>
      <c r="G43" s="390" t="n">
        <v>0</v>
      </c>
      <c r="H43" s="390" t="n">
        <v>0</v>
      </c>
      <c r="I43" s="390" t="n">
        <v>0</v>
      </c>
      <c r="J43" s="390" t="n">
        <v>0</v>
      </c>
      <c r="K43" s="390" t="n">
        <v>0</v>
      </c>
      <c r="L43" s="390" t="n">
        <v>0</v>
      </c>
      <c r="M43" s="390" t="n">
        <v>0</v>
      </c>
    </row>
    <row r="44" ht="22.5" customHeight="1" s="885">
      <c r="A44" s="427" t="inlineStr">
        <is>
          <t>RO071</t>
        </is>
      </c>
      <c r="B44" s="958" t="n"/>
      <c r="C44" s="451" t="inlineStr">
        <is>
          <t>Montant total des pertes</t>
        </is>
      </c>
      <c r="D44" s="390" t="n">
        <v>0</v>
      </c>
      <c r="E44" s="390" t="n">
        <v>0</v>
      </c>
      <c r="F44" s="390" t="n">
        <v>0</v>
      </c>
      <c r="G44" s="390" t="n">
        <v>0</v>
      </c>
      <c r="H44" s="390" t="n">
        <v>0</v>
      </c>
      <c r="I44" s="390" t="n">
        <v>0</v>
      </c>
      <c r="J44" s="390" t="n">
        <v>0</v>
      </c>
      <c r="K44" s="390" t="n">
        <v>0</v>
      </c>
      <c r="L44" s="390" t="n">
        <v>8</v>
      </c>
      <c r="M44" s="390" t="n">
        <v>0</v>
      </c>
    </row>
    <row r="45" ht="37.5" customHeight="1" s="885">
      <c r="A45" s="427" t="inlineStr">
        <is>
          <t>RO072</t>
        </is>
      </c>
      <c r="B45" s="958" t="n"/>
      <c r="C45" s="451" t="inlineStr">
        <is>
          <t>Perte maximale dans cette ligne de métier</t>
        </is>
      </c>
      <c r="D45" s="390" t="n">
        <v>0</v>
      </c>
      <c r="E45" s="390" t="n">
        <v>0</v>
      </c>
      <c r="F45" s="390" t="n">
        <v>0</v>
      </c>
      <c r="G45" s="390" t="n">
        <v>0</v>
      </c>
      <c r="H45" s="390" t="n">
        <v>0</v>
      </c>
      <c r="I45" s="390" t="n">
        <v>0</v>
      </c>
      <c r="J45" s="390" t="n">
        <v>0</v>
      </c>
      <c r="K45" s="390" t="n">
        <v>0</v>
      </c>
      <c r="L45" s="390" t="n">
        <v>0</v>
      </c>
      <c r="M45" s="390" t="n">
        <v>0</v>
      </c>
    </row>
    <row r="46" ht="37.5" customHeight="1" s="885">
      <c r="A46" s="427" t="inlineStr">
        <is>
          <t>RO073</t>
        </is>
      </c>
      <c r="B46" s="896" t="n"/>
      <c r="C46" s="451" t="inlineStr">
        <is>
          <t>Total des cinq plus grandes pertes</t>
        </is>
      </c>
      <c r="D46" s="390" t="n">
        <v>0</v>
      </c>
      <c r="E46" s="390" t="n">
        <v>0</v>
      </c>
      <c r="F46" s="390" t="n">
        <v>0</v>
      </c>
      <c r="G46" s="390" t="n">
        <v>0</v>
      </c>
      <c r="H46" s="390" t="n">
        <v>0</v>
      </c>
      <c r="I46" s="390" t="n">
        <v>0</v>
      </c>
      <c r="J46" s="390" t="n">
        <v>0</v>
      </c>
      <c r="K46" s="390" t="n">
        <v>0</v>
      </c>
      <c r="L46" s="390" t="n">
        <v>0</v>
      </c>
      <c r="M46" s="390" t="n">
        <v>0</v>
      </c>
    </row>
    <row r="47" ht="17.5" customHeight="1" s="885">
      <c r="B47" s="777" t="n"/>
      <c r="C47" s="777" t="n"/>
    </row>
    <row r="48" ht="17.5" customHeight="1" s="885">
      <c r="B48" s="777" t="n"/>
      <c r="C48" s="777" t="n"/>
    </row>
    <row r="49" ht="17.5" customFormat="1" customHeight="1" s="777">
      <c r="A49" s="444" t="n"/>
    </row>
    <row r="50" ht="17.5" customFormat="1" customHeight="1" s="777">
      <c r="A50" s="444" t="n"/>
    </row>
    <row r="51" ht="17.5" customFormat="1" customHeight="1" s="777">
      <c r="A51" s="44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KznQWwIx/X1VRKBs1Tq+g==" formatRows="1" sort="1" spinCount="100000" hashValue="y9C2UoQ9poJCziPeXSRwMXul5FUWzm5DDlmDrFKAviEos+VVIbbWrDPlvDnllOaIawhqkmUYojeVAGmoquKnAA=="/>
  <mergeCells count="16">
    <mergeCell ref="A10:C10"/>
    <mergeCell ref="A8:A9"/>
    <mergeCell ref="B8:C9"/>
    <mergeCell ref="B23:B26"/>
    <mergeCell ref="B31:B34"/>
    <mergeCell ref="B39:B42"/>
    <mergeCell ref="B43:B46"/>
    <mergeCell ref="K8:K9"/>
    <mergeCell ref="A1:L1"/>
    <mergeCell ref="D8:J8"/>
    <mergeCell ref="L8:M8"/>
    <mergeCell ref="B15:B18"/>
    <mergeCell ref="B11:B14"/>
    <mergeCell ref="B27:B30"/>
    <mergeCell ref="B19:B22"/>
    <mergeCell ref="B35:B38"/>
  </mergeCells>
  <pageMargins left="0.708333333333333" right="0.708333333333333" top="0.747916666666667" bottom="0.747916666666667" header="0.511811023622047" footer="0.315277777777778"/>
  <pageSetup orientation="landscape" paperSize="9" scale="54" horizontalDpi="300" verticalDpi="300"/>
  <headerFooter>
    <oddHeader/>
    <oddFooter>&amp;R&amp;P</oddFooter>
    <evenHeader/>
    <evenFooter/>
    <firstHeader/>
    <firstFooter/>
  </headerFooter>
  <rowBreaks count="1" manualBreakCount="1">
    <brk id="26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L458"/>
  <sheetViews>
    <sheetView view="pageBreakPreview" topLeftCell="A17" zoomScale="40" zoomScaleNormal="70" zoomScalePageLayoutView="40" workbookViewId="0">
      <selection activeCell="B15" sqref="B15"/>
    </sheetView>
  </sheetViews>
  <sheetFormatPr baseColWidth="10" defaultColWidth="10" defaultRowHeight="22.5" customHeight="1"/>
  <cols>
    <col collapsed="1" width="15.453125" customWidth="1" style="191" min="1" max="1"/>
    <col collapsed="1" width="105.6328125" customWidth="1" style="452" min="2" max="2"/>
    <col collapsed="1" width="24.1796875" customWidth="1" style="453" min="3" max="3"/>
    <col collapsed="1" width="24.1796875" customWidth="1" style="454" min="4" max="6"/>
    <col collapsed="1" width="32.36328125" customWidth="1" style="454" min="7" max="7"/>
    <col collapsed="1" width="29.81640625" customWidth="1" style="454" min="8" max="8"/>
    <col collapsed="1" width="29.6328125" customWidth="1" style="454" min="9" max="9"/>
    <col collapsed="1" width="18.26953125" customWidth="1" style="454" min="10" max="10"/>
    <col collapsed="1" width="10" customWidth="1" style="454" min="11" max="16384"/>
  </cols>
  <sheetData>
    <row r="1" ht="29.25" customHeight="1" s="885">
      <c r="A1" s="829" t="inlineStr">
        <is>
          <t>RISQUE DE MARCHE : EXIGENCES DE FONDS PROPRES AU TITRE DU RISQUE DE TAUX D'INTERET DU PORTEFEUILLE DE NEGOCIATION</t>
        </is>
      </c>
      <c r="B1" s="886" t="n"/>
      <c r="C1" s="886" t="n"/>
      <c r="D1" s="886" t="n"/>
      <c r="E1" s="886" t="n"/>
      <c r="F1" s="886" t="n"/>
      <c r="G1" s="886" t="n"/>
      <c r="H1" s="886" t="n"/>
      <c r="I1" s="989" t="inlineStr">
        <is>
          <t>EP25</t>
        </is>
      </c>
    </row>
    <row r="2" ht="31.5" customFormat="1" customHeight="1" s="456">
      <c r="B2" s="457" t="n"/>
      <c r="C2" s="458" t="n"/>
      <c r="D2" s="990" t="n"/>
      <c r="E2" s="990" t="n"/>
      <c r="F2" s="990" t="n"/>
      <c r="G2" s="990" t="n"/>
      <c r="H2" s="990" t="n"/>
      <c r="I2" s="990" t="n"/>
      <c r="J2" s="990" t="n"/>
      <c r="K2" s="991" t="n"/>
      <c r="L2" s="990" t="n"/>
      <c r="M2" s="990" t="n"/>
      <c r="N2" s="454" t="n"/>
      <c r="O2" s="454" t="n"/>
      <c r="P2" s="454" t="n"/>
      <c r="Q2" s="454" t="n"/>
      <c r="R2" s="454" t="n"/>
      <c r="S2" s="454" t="n"/>
      <c r="T2" s="454" t="n"/>
      <c r="U2" s="454" t="n"/>
      <c r="V2" s="454" t="n"/>
      <c r="W2" s="454" t="n"/>
      <c r="X2" s="454" t="n"/>
      <c r="Y2" s="454" t="n"/>
      <c r="Z2" s="454" t="n"/>
      <c r="AA2" s="454" t="n"/>
      <c r="AB2" s="454" t="n"/>
      <c r="AC2" s="454" t="n"/>
      <c r="AD2" s="454" t="n"/>
      <c r="AE2" s="454" t="n"/>
      <c r="AF2" s="454" t="n"/>
      <c r="AG2" s="454" t="n"/>
      <c r="AH2" s="454" t="n"/>
      <c r="AI2" s="454" t="n"/>
      <c r="AJ2" s="454" t="n"/>
      <c r="AK2" s="454" t="n"/>
      <c r="AL2" s="454" t="n"/>
      <c r="AM2" s="454" t="n"/>
      <c r="AN2" s="454" t="n"/>
      <c r="AO2" s="454" t="n"/>
      <c r="AP2" s="454" t="n"/>
      <c r="AQ2" s="454" t="n"/>
      <c r="AR2" s="454" t="n"/>
      <c r="AS2" s="454" t="n"/>
      <c r="AT2" s="454" t="n"/>
      <c r="AU2" s="454" t="n"/>
      <c r="AV2" s="454" t="n"/>
      <c r="AW2" s="454" t="n"/>
      <c r="AX2" s="454" t="n"/>
      <c r="AY2" s="454" t="n"/>
      <c r="AZ2" s="454" t="n"/>
      <c r="BA2" s="454" t="n"/>
      <c r="BB2" s="454" t="n"/>
      <c r="BC2" s="454" t="n"/>
      <c r="BD2" s="454" t="n"/>
      <c r="BE2" s="454" t="n"/>
      <c r="BF2" s="454" t="n"/>
      <c r="BG2" s="454" t="n"/>
      <c r="BH2" s="454" t="n"/>
      <c r="BI2" s="454" t="n"/>
      <c r="BJ2" s="454" t="n"/>
      <c r="BK2" s="454" t="n"/>
      <c r="BL2" s="454" t="n"/>
      <c r="BM2" s="454" t="n"/>
      <c r="BN2" s="454" t="n"/>
      <c r="BO2" s="454" t="n"/>
      <c r="BP2" s="454" t="n"/>
      <c r="BQ2" s="454" t="n"/>
      <c r="BR2" s="454" t="n"/>
      <c r="BS2" s="454" t="n"/>
      <c r="BT2" s="454" t="n"/>
      <c r="BU2" s="454" t="n"/>
      <c r="BV2" s="454" t="n"/>
      <c r="BW2" s="454" t="n"/>
      <c r="BX2" s="454" t="n"/>
      <c r="BY2" s="454" t="n"/>
      <c r="BZ2" s="454" t="n"/>
      <c r="CA2" s="454" t="n"/>
      <c r="CB2" s="454" t="n"/>
      <c r="CC2" s="454" t="n"/>
      <c r="CD2" s="454" t="n"/>
      <c r="CE2" s="454" t="n"/>
      <c r="CF2" s="454" t="n"/>
      <c r="CG2" s="454" t="n"/>
      <c r="CH2" s="454" t="n"/>
      <c r="CI2" s="454" t="n"/>
      <c r="CJ2" s="454" t="n"/>
      <c r="CK2" s="454" t="n"/>
      <c r="CL2" s="454" t="n"/>
      <c r="CM2" s="454" t="n"/>
      <c r="CN2" s="454" t="n"/>
      <c r="CO2" s="454" t="n"/>
      <c r="CP2" s="454" t="n"/>
      <c r="CQ2" s="454" t="n"/>
      <c r="CR2" s="454" t="n"/>
      <c r="CS2" s="454" t="n"/>
      <c r="CT2" s="454" t="n"/>
      <c r="CU2" s="454" t="n"/>
      <c r="CV2" s="454" t="n"/>
      <c r="CW2" s="454" t="n"/>
      <c r="CX2" s="454" t="n"/>
      <c r="CY2" s="454" t="n"/>
      <c r="CZ2" s="454" t="n"/>
      <c r="DA2" s="454" t="n"/>
      <c r="DB2" s="454" t="n"/>
      <c r="DC2" s="454" t="n"/>
      <c r="DD2" s="454" t="n"/>
      <c r="DE2" s="454" t="n"/>
      <c r="DF2" s="454" t="n"/>
      <c r="DG2" s="454" t="n"/>
      <c r="DH2" s="454" t="n"/>
      <c r="DI2" s="454" t="n"/>
      <c r="DJ2" s="454" t="n"/>
      <c r="DK2" s="454" t="n"/>
      <c r="DL2" s="454" t="n"/>
      <c r="DM2" s="454" t="n"/>
      <c r="DN2" s="454" t="n"/>
      <c r="DO2" s="454" t="n"/>
      <c r="DP2" s="454" t="n"/>
      <c r="DQ2" s="454" t="n"/>
      <c r="DR2" s="454" t="n"/>
      <c r="DS2" s="454" t="n"/>
      <c r="DT2" s="454" t="n"/>
      <c r="DU2" s="454" t="n"/>
      <c r="DV2" s="454" t="n"/>
      <c r="DW2" s="454" t="n"/>
      <c r="DX2" s="454" t="n"/>
      <c r="DY2" s="454" t="n"/>
      <c r="DZ2" s="454" t="n"/>
      <c r="EA2" s="454" t="n"/>
      <c r="EB2" s="454" t="n"/>
      <c r="EC2" s="454" t="n"/>
      <c r="ED2" s="454" t="n"/>
      <c r="EE2" s="454" t="n"/>
      <c r="EF2" s="454" t="n"/>
      <c r="EG2" s="454" t="n"/>
      <c r="EH2" s="454" t="n"/>
      <c r="EI2" s="454" t="n"/>
      <c r="EJ2" s="454" t="n"/>
      <c r="EK2" s="454" t="n"/>
      <c r="EL2" s="454" t="n"/>
      <c r="EM2" s="454" t="n"/>
      <c r="EN2" s="454" t="n"/>
      <c r="EO2" s="454" t="n"/>
      <c r="EP2" s="454" t="n"/>
      <c r="EQ2" s="454" t="n"/>
      <c r="ER2" s="454" t="n"/>
      <c r="ES2" s="454" t="n"/>
      <c r="ET2" s="454" t="n"/>
      <c r="EU2" s="454" t="n"/>
      <c r="EV2" s="454" t="n"/>
      <c r="EW2" s="454" t="n"/>
      <c r="EX2" s="454" t="n"/>
      <c r="EY2" s="454" t="n"/>
      <c r="EZ2" s="454" t="n"/>
      <c r="FA2" s="454" t="n"/>
      <c r="FB2" s="454" t="n"/>
      <c r="FC2" s="454" t="n"/>
      <c r="FD2" s="454" t="n"/>
      <c r="FE2" s="454" t="n"/>
      <c r="FF2" s="454" t="n"/>
      <c r="FG2" s="454" t="n"/>
      <c r="FH2" s="454" t="n"/>
      <c r="FI2" s="454" t="n"/>
      <c r="FJ2" s="454" t="n"/>
      <c r="FK2" s="454" t="n"/>
      <c r="FL2" s="454" t="n"/>
      <c r="FM2" s="454" t="n"/>
      <c r="FN2" s="454" t="n"/>
      <c r="FO2" s="454" t="n"/>
      <c r="FP2" s="454" t="n"/>
      <c r="FQ2" s="454" t="n"/>
      <c r="FR2" s="454" t="n"/>
      <c r="FS2" s="454" t="n"/>
      <c r="FT2" s="454" t="n"/>
      <c r="FU2" s="454" t="n"/>
      <c r="FV2" s="454" t="n"/>
      <c r="FW2" s="454" t="n"/>
      <c r="FX2" s="454" t="n"/>
      <c r="FY2" s="454" t="n"/>
      <c r="FZ2" s="454" t="n"/>
      <c r="GA2" s="454" t="n"/>
      <c r="GB2" s="454" t="n"/>
      <c r="GC2" s="454" t="n"/>
      <c r="GD2" s="454" t="n"/>
      <c r="GE2" s="454" t="n"/>
      <c r="GF2" s="454" t="n"/>
      <c r="GG2" s="454" t="n"/>
      <c r="GH2" s="454" t="n"/>
      <c r="GI2" s="454" t="n"/>
      <c r="GJ2" s="454" t="n"/>
      <c r="GK2" s="454" t="n"/>
      <c r="GL2" s="454" t="n"/>
      <c r="GM2" s="454" t="n"/>
      <c r="GN2" s="454" t="n"/>
      <c r="GO2" s="454" t="n"/>
      <c r="GP2" s="454" t="n"/>
      <c r="GQ2" s="454" t="n"/>
      <c r="GR2" s="454" t="n"/>
      <c r="GS2" s="454" t="n"/>
      <c r="GT2" s="454" t="n"/>
      <c r="GU2" s="454" t="n"/>
      <c r="GV2" s="454" t="n"/>
      <c r="GW2" s="454" t="n"/>
      <c r="GX2" s="454" t="n"/>
      <c r="GY2" s="454" t="n"/>
      <c r="GZ2" s="454" t="n"/>
      <c r="HA2" s="454" t="n"/>
      <c r="HB2" s="454" t="n"/>
      <c r="HC2" s="454" t="n"/>
      <c r="HD2" s="454" t="n"/>
      <c r="HE2" s="454" t="n"/>
      <c r="HF2" s="454" t="n"/>
      <c r="HG2" s="454" t="n"/>
      <c r="HH2" s="454" t="n"/>
      <c r="HI2" s="454" t="n"/>
      <c r="HJ2" s="454" t="n"/>
      <c r="HK2" s="454" t="n"/>
      <c r="HL2" s="454" t="n"/>
      <c r="HM2" s="454" t="n"/>
      <c r="HN2" s="454" t="n"/>
      <c r="HO2" s="454" t="n"/>
      <c r="HP2" s="454" t="n"/>
      <c r="HQ2" s="454" t="n"/>
      <c r="HR2" s="454" t="n"/>
      <c r="HS2" s="454" t="n"/>
      <c r="HT2" s="454" t="n"/>
      <c r="HU2" s="454" t="n"/>
      <c r="HV2" s="454" t="n"/>
      <c r="HW2" s="454" t="n"/>
      <c r="HX2" s="454" t="n"/>
      <c r="HY2" s="454" t="n"/>
      <c r="HZ2" s="454" t="n"/>
      <c r="IA2" s="454" t="n"/>
      <c r="IB2" s="454" t="n"/>
      <c r="IC2" s="454" t="n"/>
      <c r="ID2" s="454" t="n"/>
      <c r="IE2" s="454" t="n"/>
      <c r="IF2" s="454" t="n"/>
      <c r="IG2" s="454" t="n"/>
      <c r="IH2" s="454" t="n"/>
      <c r="II2" s="454" t="n"/>
      <c r="IJ2" s="454" t="n"/>
      <c r="IK2" s="454" t="n"/>
      <c r="IL2" s="454" t="n"/>
      <c r="IM2" s="454" t="n"/>
      <c r="IN2" s="454" t="n"/>
      <c r="IO2" s="454" t="n"/>
      <c r="IP2" s="454" t="n"/>
      <c r="IQ2" s="454" t="n"/>
      <c r="IR2" s="454" t="n"/>
      <c r="IS2" s="454" t="n"/>
      <c r="IT2" s="454" t="n"/>
      <c r="IU2" s="454" t="n"/>
      <c r="IV2" s="454" t="n"/>
      <c r="IW2" s="454" t="n"/>
      <c r="IX2" s="454" t="n"/>
      <c r="IY2" s="454" t="n"/>
      <c r="IZ2" s="454" t="n"/>
      <c r="JA2" s="454" t="n"/>
      <c r="JB2" s="454" t="n"/>
      <c r="JC2" s="454" t="n"/>
      <c r="JD2" s="454" t="n"/>
      <c r="JE2" s="454" t="n"/>
      <c r="JF2" s="454" t="n"/>
      <c r="JG2" s="454" t="n"/>
      <c r="JH2" s="454" t="n"/>
      <c r="JI2" s="454" t="n"/>
      <c r="JJ2" s="454" t="n"/>
      <c r="JK2" s="454" t="n"/>
      <c r="JL2" s="454" t="n"/>
      <c r="JM2" s="454" t="n"/>
      <c r="JN2" s="454" t="n"/>
      <c r="JO2" s="454" t="n"/>
      <c r="JP2" s="454" t="n"/>
      <c r="JQ2" s="454" t="n"/>
      <c r="JR2" s="454" t="n"/>
      <c r="JS2" s="454" t="n"/>
      <c r="JT2" s="454" t="n"/>
      <c r="JU2" s="454" t="n"/>
      <c r="JV2" s="454" t="n"/>
      <c r="JW2" s="454" t="n"/>
      <c r="JX2" s="454" t="n"/>
      <c r="JY2" s="454" t="n"/>
      <c r="JZ2" s="454" t="n"/>
      <c r="KA2" s="454" t="n"/>
      <c r="KB2" s="454" t="n"/>
      <c r="KC2" s="454" t="n"/>
      <c r="KD2" s="454" t="n"/>
      <c r="KE2" s="454" t="n"/>
      <c r="KF2" s="454" t="n"/>
      <c r="KG2" s="454" t="n"/>
      <c r="KH2" s="454" t="n"/>
      <c r="KI2" s="454" t="n"/>
      <c r="KJ2" s="454" t="n"/>
      <c r="KK2" s="454" t="n"/>
      <c r="KL2" s="454" t="n"/>
      <c r="KM2" s="454" t="n"/>
      <c r="KN2" s="454" t="n"/>
      <c r="KO2" s="454" t="n"/>
      <c r="KP2" s="454" t="n"/>
      <c r="KQ2" s="454" t="n"/>
      <c r="KR2" s="454" t="n"/>
      <c r="KS2" s="454" t="n"/>
      <c r="KT2" s="454" t="n"/>
      <c r="KU2" s="454" t="n"/>
      <c r="KV2" s="454" t="n"/>
      <c r="KW2" s="454" t="n"/>
      <c r="KX2" s="454" t="n"/>
      <c r="KY2" s="454" t="n"/>
      <c r="KZ2" s="454" t="n"/>
      <c r="LA2" s="454" t="n"/>
      <c r="LB2" s="454" t="n"/>
      <c r="LC2" s="454" t="n"/>
      <c r="LD2" s="454" t="n"/>
      <c r="LE2" s="454" t="n"/>
      <c r="LF2" s="454" t="n"/>
      <c r="LG2" s="454" t="n"/>
      <c r="LH2" s="454" t="n"/>
      <c r="LI2" s="454" t="n"/>
      <c r="LJ2" s="454" t="n"/>
      <c r="LK2" s="454" t="n"/>
      <c r="LL2" s="454" t="n"/>
      <c r="LM2" s="454" t="n"/>
      <c r="LN2" s="454" t="n"/>
      <c r="LO2" s="454" t="n"/>
      <c r="LP2" s="454" t="n"/>
      <c r="LQ2" s="454" t="n"/>
      <c r="LR2" s="454" t="n"/>
      <c r="LS2" s="454" t="n"/>
      <c r="LT2" s="454" t="n"/>
      <c r="LU2" s="454" t="n"/>
      <c r="LV2" s="454" t="n"/>
      <c r="LW2" s="454" t="n"/>
      <c r="LX2" s="454" t="n"/>
      <c r="LY2" s="454" t="n"/>
      <c r="LZ2" s="454" t="n"/>
      <c r="MA2" s="454" t="n"/>
      <c r="MB2" s="454" t="n"/>
      <c r="MC2" s="454" t="n"/>
      <c r="MD2" s="454" t="n"/>
      <c r="ME2" s="454" t="n"/>
      <c r="MF2" s="454" t="n"/>
      <c r="MG2" s="454" t="n"/>
      <c r="MH2" s="454" t="n"/>
      <c r="MI2" s="454" t="n"/>
      <c r="MJ2" s="454" t="n"/>
      <c r="MK2" s="454" t="n"/>
      <c r="ML2" s="454" t="n"/>
      <c r="MM2" s="454" t="n"/>
      <c r="MN2" s="454" t="n"/>
      <c r="MO2" s="454" t="n"/>
      <c r="MP2" s="454" t="n"/>
      <c r="MQ2" s="454" t="n"/>
      <c r="MR2" s="454" t="n"/>
      <c r="MS2" s="454" t="n"/>
      <c r="MT2" s="454" t="n"/>
      <c r="MU2" s="454" t="n"/>
      <c r="MV2" s="454" t="n"/>
      <c r="MW2" s="454" t="n"/>
      <c r="MX2" s="454" t="n"/>
      <c r="MY2" s="454" t="n"/>
      <c r="MZ2" s="454" t="n"/>
      <c r="NA2" s="454" t="n"/>
      <c r="NB2" s="454" t="n"/>
      <c r="NC2" s="454" t="n"/>
      <c r="ND2" s="454" t="n"/>
      <c r="NE2" s="454" t="n"/>
      <c r="NF2" s="454" t="n"/>
      <c r="NG2" s="454" t="n"/>
      <c r="NH2" s="454" t="n"/>
      <c r="NI2" s="454" t="n"/>
      <c r="NJ2" s="454" t="n"/>
      <c r="NK2" s="454" t="n"/>
      <c r="NL2" s="454" t="n"/>
      <c r="NM2" s="454" t="n"/>
      <c r="NN2" s="454" t="n"/>
      <c r="NO2" s="454" t="n"/>
      <c r="NP2" s="454" t="n"/>
      <c r="NQ2" s="454" t="n"/>
      <c r="NR2" s="454" t="n"/>
      <c r="NS2" s="454" t="n"/>
      <c r="NT2" s="454" t="n"/>
      <c r="NU2" s="454" t="n"/>
      <c r="NV2" s="454" t="n"/>
      <c r="NW2" s="454" t="n"/>
      <c r="NX2" s="454" t="n"/>
      <c r="NY2" s="454" t="n"/>
      <c r="NZ2" s="454" t="n"/>
      <c r="OA2" s="454" t="n"/>
      <c r="OB2" s="454" t="n"/>
      <c r="OC2" s="454" t="n"/>
      <c r="OD2" s="454" t="n"/>
      <c r="OE2" s="454" t="n"/>
      <c r="OF2" s="454" t="n"/>
      <c r="OG2" s="454" t="n"/>
      <c r="OH2" s="454" t="n"/>
      <c r="OI2" s="454" t="n"/>
      <c r="OJ2" s="454" t="n"/>
      <c r="OK2" s="454" t="n"/>
      <c r="OL2" s="454" t="n"/>
      <c r="OM2" s="454" t="n"/>
      <c r="ON2" s="454" t="n"/>
      <c r="OO2" s="454" t="n"/>
      <c r="OP2" s="454" t="n"/>
      <c r="OQ2" s="454" t="n"/>
      <c r="OR2" s="454" t="n"/>
      <c r="OS2" s="454" t="n"/>
      <c r="OT2" s="454" t="n"/>
      <c r="OU2" s="454" t="n"/>
      <c r="OV2" s="454" t="n"/>
      <c r="OW2" s="454" t="n"/>
      <c r="OX2" s="454" t="n"/>
      <c r="OY2" s="454" t="n"/>
      <c r="OZ2" s="454" t="n"/>
      <c r="PA2" s="454" t="n"/>
      <c r="PB2" s="454" t="n"/>
      <c r="PC2" s="454" t="n"/>
      <c r="PD2" s="454" t="n"/>
      <c r="PE2" s="454" t="n"/>
      <c r="PF2" s="454" t="n"/>
      <c r="PG2" s="454" t="n"/>
      <c r="PH2" s="454" t="n"/>
      <c r="PI2" s="454" t="n"/>
      <c r="PJ2" s="454" t="n"/>
      <c r="PK2" s="454" t="n"/>
      <c r="PL2" s="454" t="n"/>
      <c r="PM2" s="454" t="n"/>
      <c r="PN2" s="454" t="n"/>
      <c r="PO2" s="454" t="n"/>
      <c r="PP2" s="454" t="n"/>
      <c r="PQ2" s="454" t="n"/>
      <c r="PR2" s="454" t="n"/>
      <c r="PS2" s="454" t="n"/>
      <c r="PT2" s="454" t="n"/>
      <c r="PU2" s="454" t="n"/>
      <c r="PV2" s="454" t="n"/>
      <c r="PW2" s="454" t="n"/>
      <c r="PX2" s="454" t="n"/>
      <c r="PY2" s="454" t="n"/>
      <c r="PZ2" s="454" t="n"/>
      <c r="QA2" s="454" t="n"/>
      <c r="QB2" s="454" t="n"/>
      <c r="QC2" s="454" t="n"/>
      <c r="QD2" s="454" t="n"/>
      <c r="QE2" s="454" t="n"/>
      <c r="QF2" s="454" t="n"/>
      <c r="QG2" s="454" t="n"/>
      <c r="QH2" s="454" t="n"/>
      <c r="QI2" s="454" t="n"/>
      <c r="QJ2" s="454" t="n"/>
      <c r="QK2" s="454" t="n"/>
      <c r="QL2" s="454" t="n"/>
      <c r="QM2" s="454" t="n"/>
      <c r="QN2" s="454" t="n"/>
      <c r="QO2" s="454" t="n"/>
      <c r="QP2" s="454" t="n"/>
      <c r="QQ2" s="454" t="n"/>
      <c r="QR2" s="454" t="n"/>
      <c r="QS2" s="454" t="n"/>
      <c r="QT2" s="454" t="n"/>
      <c r="QU2" s="454" t="n"/>
      <c r="QV2" s="454" t="n"/>
      <c r="QW2" s="454" t="n"/>
      <c r="QX2" s="454" t="n"/>
      <c r="QY2" s="454" t="n"/>
      <c r="QZ2" s="454" t="n"/>
      <c r="RA2" s="454" t="n"/>
      <c r="RB2" s="454" t="n"/>
      <c r="RC2" s="454" t="n"/>
      <c r="RD2" s="454" t="n"/>
      <c r="RE2" s="454" t="n"/>
      <c r="RF2" s="454" t="n"/>
      <c r="RG2" s="454" t="n"/>
      <c r="RH2" s="454" t="n"/>
      <c r="RI2" s="454" t="n"/>
      <c r="RJ2" s="454" t="n"/>
      <c r="RK2" s="454" t="n"/>
      <c r="RL2" s="454" t="n"/>
      <c r="RM2" s="454" t="n"/>
      <c r="RN2" s="454" t="n"/>
      <c r="RO2" s="454" t="n"/>
      <c r="RP2" s="454" t="n"/>
      <c r="RQ2" s="454" t="n"/>
      <c r="RR2" s="454" t="n"/>
      <c r="RS2" s="454" t="n"/>
      <c r="RT2" s="454" t="n"/>
      <c r="RU2" s="454" t="n"/>
      <c r="RV2" s="454" t="n"/>
      <c r="RW2" s="454" t="n"/>
      <c r="RX2" s="454" t="n"/>
      <c r="RY2" s="454" t="n"/>
      <c r="RZ2" s="454" t="n"/>
      <c r="SA2" s="454" t="n"/>
      <c r="SB2" s="454" t="n"/>
      <c r="SC2" s="454" t="n"/>
      <c r="SD2" s="454" t="n"/>
      <c r="SE2" s="454" t="n"/>
      <c r="SF2" s="454" t="n"/>
      <c r="SG2" s="454" t="n"/>
      <c r="SH2" s="454" t="n"/>
      <c r="SI2" s="454" t="n"/>
      <c r="SJ2" s="454" t="n"/>
      <c r="SK2" s="454" t="n"/>
      <c r="SL2" s="454" t="n"/>
      <c r="SM2" s="454" t="n"/>
      <c r="SN2" s="454" t="n"/>
      <c r="SO2" s="454" t="n"/>
      <c r="SP2" s="454" t="n"/>
      <c r="SQ2" s="454" t="n"/>
      <c r="SR2" s="454" t="n"/>
      <c r="SS2" s="454" t="n"/>
      <c r="ST2" s="454" t="n"/>
      <c r="SU2" s="454" t="n"/>
      <c r="SV2" s="454" t="n"/>
      <c r="SW2" s="454" t="n"/>
      <c r="SX2" s="454" t="n"/>
      <c r="SY2" s="454" t="n"/>
      <c r="SZ2" s="454" t="n"/>
      <c r="TA2" s="454" t="n"/>
      <c r="TB2" s="454" t="n"/>
      <c r="TC2" s="454" t="n"/>
      <c r="TD2" s="454" t="n"/>
      <c r="TE2" s="454" t="n"/>
      <c r="TF2" s="454" t="n"/>
      <c r="TG2" s="454" t="n"/>
      <c r="TH2" s="454" t="n"/>
      <c r="TI2" s="454" t="n"/>
      <c r="TJ2" s="454" t="n"/>
      <c r="TK2" s="454" t="n"/>
      <c r="TL2" s="454" t="n"/>
      <c r="TM2" s="454" t="n"/>
      <c r="TN2" s="454" t="n"/>
      <c r="TO2" s="454" t="n"/>
      <c r="TP2" s="454" t="n"/>
      <c r="TQ2" s="454" t="n"/>
      <c r="TR2" s="454" t="n"/>
      <c r="TS2" s="454" t="n"/>
      <c r="TT2" s="454" t="n"/>
      <c r="TU2" s="454" t="n"/>
      <c r="TV2" s="454" t="n"/>
      <c r="TW2" s="454" t="n"/>
      <c r="TX2" s="454" t="n"/>
      <c r="TY2" s="454" t="n"/>
      <c r="TZ2" s="454" t="n"/>
      <c r="UA2" s="454" t="n"/>
      <c r="UB2" s="454" t="n"/>
      <c r="UC2" s="454" t="n"/>
      <c r="UD2" s="454" t="n"/>
      <c r="UE2" s="454" t="n"/>
      <c r="UF2" s="454" t="n"/>
      <c r="UG2" s="454" t="n"/>
      <c r="UH2" s="454" t="n"/>
      <c r="UI2" s="454" t="n"/>
      <c r="UJ2" s="454" t="n"/>
      <c r="UK2" s="454" t="n"/>
      <c r="UL2" s="454" t="n"/>
      <c r="UM2" s="454" t="n"/>
      <c r="UN2" s="454" t="n"/>
      <c r="UO2" s="454" t="n"/>
      <c r="UP2" s="454" t="n"/>
      <c r="UQ2" s="454" t="n"/>
      <c r="UR2" s="454" t="n"/>
      <c r="US2" s="454" t="n"/>
      <c r="UT2" s="454" t="n"/>
      <c r="UU2" s="454" t="n"/>
      <c r="UV2" s="454" t="n"/>
      <c r="UW2" s="454" t="n"/>
      <c r="UX2" s="454" t="n"/>
      <c r="UY2" s="454" t="n"/>
      <c r="UZ2" s="454" t="n"/>
      <c r="VA2" s="454" t="n"/>
      <c r="VB2" s="454" t="n"/>
      <c r="VC2" s="454" t="n"/>
      <c r="VD2" s="454" t="n"/>
      <c r="VE2" s="454" t="n"/>
      <c r="VF2" s="454" t="n"/>
      <c r="VG2" s="454" t="n"/>
      <c r="VH2" s="454" t="n"/>
      <c r="VI2" s="454" t="n"/>
      <c r="VJ2" s="454" t="n"/>
      <c r="VK2" s="454" t="n"/>
      <c r="VL2" s="454" t="n"/>
      <c r="VM2" s="454" t="n"/>
      <c r="VN2" s="454" t="n"/>
      <c r="VO2" s="454" t="n"/>
      <c r="VP2" s="454" t="n"/>
      <c r="VQ2" s="454" t="n"/>
      <c r="VR2" s="454" t="n"/>
      <c r="VS2" s="454" t="n"/>
      <c r="VT2" s="454" t="n"/>
      <c r="VU2" s="454" t="n"/>
      <c r="VV2" s="454" t="n"/>
      <c r="VW2" s="454" t="n"/>
      <c r="VX2" s="454" t="n"/>
      <c r="VY2" s="454" t="n"/>
      <c r="VZ2" s="454" t="n"/>
      <c r="WA2" s="454" t="n"/>
      <c r="WB2" s="454" t="n"/>
      <c r="WC2" s="454" t="n"/>
      <c r="WD2" s="454" t="n"/>
      <c r="WE2" s="454" t="n"/>
      <c r="WF2" s="454" t="n"/>
      <c r="WG2" s="454" t="n"/>
      <c r="WH2" s="454" t="n"/>
      <c r="WI2" s="454" t="n"/>
      <c r="WJ2" s="454" t="n"/>
      <c r="WK2" s="454" t="n"/>
      <c r="WL2" s="454" t="n"/>
      <c r="WM2" s="454" t="n"/>
      <c r="WN2" s="454" t="n"/>
      <c r="WO2" s="454" t="n"/>
      <c r="WP2" s="454" t="n"/>
      <c r="WQ2" s="454" t="n"/>
      <c r="WR2" s="454" t="n"/>
      <c r="WS2" s="454" t="n"/>
      <c r="WT2" s="454" t="n"/>
      <c r="WU2" s="454" t="n"/>
      <c r="WV2" s="454" t="n"/>
      <c r="WW2" s="454" t="n"/>
      <c r="WX2" s="454" t="n"/>
      <c r="WY2" s="454" t="n"/>
      <c r="WZ2" s="454" t="n"/>
      <c r="XA2" s="454" t="n"/>
      <c r="XB2" s="454" t="n"/>
      <c r="XC2" s="454" t="n"/>
      <c r="XD2" s="454" t="n"/>
      <c r="XE2" s="454" t="n"/>
      <c r="XF2" s="454" t="n"/>
      <c r="XG2" s="454" t="n"/>
      <c r="XH2" s="454" t="n"/>
      <c r="XI2" s="454" t="n"/>
      <c r="XJ2" s="454" t="n"/>
      <c r="XK2" s="454" t="n"/>
      <c r="XL2" s="454" t="n"/>
      <c r="XM2" s="454" t="n"/>
      <c r="XN2" s="454" t="n"/>
      <c r="XO2" s="454" t="n"/>
      <c r="XP2" s="454" t="n"/>
      <c r="XQ2" s="454" t="n"/>
      <c r="XR2" s="454" t="n"/>
      <c r="XS2" s="454" t="n"/>
      <c r="XT2" s="454" t="n"/>
      <c r="XU2" s="454" t="n"/>
      <c r="XV2" s="454" t="n"/>
      <c r="XW2" s="454" t="n"/>
      <c r="XX2" s="454" t="n"/>
      <c r="XY2" s="454" t="n"/>
      <c r="XZ2" s="454" t="n"/>
      <c r="YA2" s="454" t="n"/>
      <c r="YB2" s="454" t="n"/>
      <c r="YC2" s="454" t="n"/>
      <c r="YD2" s="454" t="n"/>
      <c r="YE2" s="454" t="n"/>
      <c r="YF2" s="454" t="n"/>
      <c r="YG2" s="454" t="n"/>
      <c r="YH2" s="454" t="n"/>
      <c r="YI2" s="454" t="n"/>
      <c r="YJ2" s="454" t="n"/>
      <c r="YK2" s="454" t="n"/>
      <c r="YL2" s="454" t="n"/>
      <c r="YM2" s="454" t="n"/>
      <c r="YN2" s="454" t="n"/>
      <c r="YO2" s="454" t="n"/>
      <c r="YP2" s="454" t="n"/>
      <c r="YQ2" s="454" t="n"/>
      <c r="YR2" s="454" t="n"/>
      <c r="YS2" s="454" t="n"/>
      <c r="YT2" s="454" t="n"/>
      <c r="YU2" s="454" t="n"/>
      <c r="YV2" s="454" t="n"/>
      <c r="YW2" s="454" t="n"/>
      <c r="YX2" s="454" t="n"/>
      <c r="YY2" s="454" t="n"/>
      <c r="YZ2" s="454" t="n"/>
      <c r="ZA2" s="454" t="n"/>
      <c r="ZB2" s="454" t="n"/>
      <c r="ZC2" s="454" t="n"/>
      <c r="ZD2" s="454" t="n"/>
      <c r="ZE2" s="454" t="n"/>
      <c r="ZF2" s="454" t="n"/>
      <c r="ZG2" s="454" t="n"/>
      <c r="ZH2" s="454" t="n"/>
      <c r="ZI2" s="454" t="n"/>
      <c r="ZJ2" s="454" t="n"/>
      <c r="ZK2" s="454" t="n"/>
      <c r="ZL2" s="454" t="n"/>
      <c r="ZM2" s="454" t="n"/>
      <c r="ZN2" s="454" t="n"/>
      <c r="ZO2" s="454" t="n"/>
      <c r="ZP2" s="454" t="n"/>
      <c r="ZQ2" s="454" t="n"/>
      <c r="ZR2" s="454" t="n"/>
      <c r="ZS2" s="454" t="n"/>
      <c r="ZT2" s="454" t="n"/>
      <c r="ZU2" s="454" t="n"/>
      <c r="ZV2" s="454" t="n"/>
      <c r="ZW2" s="454" t="n"/>
      <c r="ZX2" s="454" t="n"/>
      <c r="ZY2" s="454" t="n"/>
      <c r="ZZ2" s="454" t="n"/>
      <c r="AAA2" s="454" t="n"/>
      <c r="AAB2" s="454" t="n"/>
      <c r="AAC2" s="454" t="n"/>
      <c r="AAD2" s="454" t="n"/>
      <c r="AAE2" s="454" t="n"/>
      <c r="AAF2" s="454" t="n"/>
      <c r="AAG2" s="454" t="n"/>
      <c r="AAH2" s="454" t="n"/>
      <c r="AAI2" s="454" t="n"/>
      <c r="AAJ2" s="454" t="n"/>
      <c r="AAK2" s="454" t="n"/>
      <c r="AAL2" s="454" t="n"/>
      <c r="AAM2" s="454" t="n"/>
      <c r="AAN2" s="454" t="n"/>
      <c r="AAO2" s="454" t="n"/>
      <c r="AAP2" s="454" t="n"/>
      <c r="AAQ2" s="454" t="n"/>
      <c r="AAR2" s="454" t="n"/>
      <c r="AAS2" s="454" t="n"/>
      <c r="AAT2" s="454" t="n"/>
      <c r="AAU2" s="454" t="n"/>
      <c r="AAV2" s="454" t="n"/>
      <c r="AAW2" s="454" t="n"/>
      <c r="AAX2" s="454" t="n"/>
      <c r="AAY2" s="454" t="n"/>
      <c r="AAZ2" s="454" t="n"/>
      <c r="ABA2" s="454" t="n"/>
      <c r="ABB2" s="454" t="n"/>
      <c r="ABC2" s="454" t="n"/>
      <c r="ABD2" s="454" t="n"/>
      <c r="ABE2" s="454" t="n"/>
      <c r="ABF2" s="454" t="n"/>
      <c r="ABG2" s="454" t="n"/>
      <c r="ABH2" s="454" t="n"/>
      <c r="ABI2" s="454" t="n"/>
      <c r="ABJ2" s="454" t="n"/>
      <c r="ABK2" s="454" t="n"/>
      <c r="ABL2" s="454" t="n"/>
      <c r="ABM2" s="454" t="n"/>
      <c r="ABN2" s="454" t="n"/>
      <c r="ABO2" s="454" t="n"/>
      <c r="ABP2" s="454" t="n"/>
      <c r="ABQ2" s="454" t="n"/>
      <c r="ABR2" s="454" t="n"/>
      <c r="ABS2" s="454" t="n"/>
      <c r="ABT2" s="454" t="n"/>
      <c r="ABU2" s="454" t="n"/>
      <c r="ABV2" s="454" t="n"/>
      <c r="ABW2" s="454" t="n"/>
      <c r="ABX2" s="454" t="n"/>
      <c r="ABY2" s="454" t="n"/>
      <c r="ABZ2" s="454" t="n"/>
      <c r="ACA2" s="454" t="n"/>
      <c r="ACB2" s="454" t="n"/>
      <c r="ACC2" s="454" t="n"/>
      <c r="ACD2" s="454" t="n"/>
      <c r="ACE2" s="454" t="n"/>
      <c r="ACF2" s="454" t="n"/>
      <c r="ACG2" s="454" t="n"/>
      <c r="ACH2" s="454" t="n"/>
      <c r="ACI2" s="454" t="n"/>
      <c r="ACJ2" s="454" t="n"/>
      <c r="ACK2" s="454" t="n"/>
      <c r="ACL2" s="454" t="n"/>
      <c r="ACM2" s="454" t="n"/>
      <c r="ACN2" s="454" t="n"/>
      <c r="ACO2" s="454" t="n"/>
      <c r="ACP2" s="454" t="n"/>
      <c r="ACQ2" s="454" t="n"/>
      <c r="ACR2" s="454" t="n"/>
      <c r="ACS2" s="454" t="n"/>
      <c r="ACT2" s="454" t="n"/>
      <c r="ACU2" s="454" t="n"/>
      <c r="ACV2" s="454" t="n"/>
      <c r="ACW2" s="454" t="n"/>
      <c r="ACX2" s="454" t="n"/>
      <c r="ACY2" s="454" t="n"/>
      <c r="ACZ2" s="454" t="n"/>
      <c r="ADA2" s="454" t="n"/>
      <c r="ADB2" s="454" t="n"/>
      <c r="ADC2" s="454" t="n"/>
      <c r="ADD2" s="454" t="n"/>
      <c r="ADE2" s="454" t="n"/>
      <c r="ADF2" s="454" t="n"/>
      <c r="ADG2" s="454" t="n"/>
      <c r="ADH2" s="454" t="n"/>
      <c r="ADI2" s="454" t="n"/>
      <c r="ADJ2" s="454" t="n"/>
      <c r="ADK2" s="454" t="n"/>
      <c r="ADL2" s="454" t="n"/>
      <c r="ADM2" s="454" t="n"/>
      <c r="ADN2" s="454" t="n"/>
      <c r="ADO2" s="454" t="n"/>
      <c r="ADP2" s="454" t="n"/>
      <c r="ADQ2" s="454" t="n"/>
      <c r="ADR2" s="454" t="n"/>
      <c r="ADS2" s="454" t="n"/>
      <c r="ADT2" s="454" t="n"/>
      <c r="ADU2" s="454" t="n"/>
      <c r="ADV2" s="454" t="n"/>
      <c r="ADW2" s="454" t="n"/>
      <c r="ADX2" s="454" t="n"/>
      <c r="ADY2" s="454" t="n"/>
      <c r="ADZ2" s="454" t="n"/>
      <c r="AEA2" s="454" t="n"/>
      <c r="AEB2" s="454" t="n"/>
      <c r="AEC2" s="454" t="n"/>
      <c r="AED2" s="454" t="n"/>
      <c r="AEE2" s="454" t="n"/>
      <c r="AEF2" s="454" t="n"/>
      <c r="AEG2" s="454" t="n"/>
      <c r="AEH2" s="454" t="n"/>
      <c r="AEI2" s="454" t="n"/>
      <c r="AEJ2" s="454" t="n"/>
      <c r="AEK2" s="454" t="n"/>
      <c r="AEL2" s="454" t="n"/>
      <c r="AEM2" s="454" t="n"/>
      <c r="AEN2" s="454" t="n"/>
      <c r="AEO2" s="454" t="n"/>
      <c r="AEP2" s="454" t="n"/>
      <c r="AEQ2" s="454" t="n"/>
      <c r="AER2" s="454" t="n"/>
      <c r="AES2" s="454" t="n"/>
      <c r="AET2" s="454" t="n"/>
      <c r="AEU2" s="454" t="n"/>
      <c r="AEV2" s="454" t="n"/>
      <c r="AEW2" s="454" t="n"/>
      <c r="AEX2" s="454" t="n"/>
      <c r="AEY2" s="454" t="n"/>
      <c r="AEZ2" s="454" t="n"/>
      <c r="AFA2" s="454" t="n"/>
      <c r="AFB2" s="454" t="n"/>
      <c r="AFC2" s="454" t="n"/>
      <c r="AFD2" s="454" t="n"/>
      <c r="AFE2" s="454" t="n"/>
      <c r="AFF2" s="454" t="n"/>
      <c r="AFG2" s="454" t="n"/>
      <c r="AFH2" s="454" t="n"/>
      <c r="AFI2" s="454" t="n"/>
      <c r="AFJ2" s="454" t="n"/>
      <c r="AFK2" s="454" t="n"/>
      <c r="AFL2" s="454" t="n"/>
      <c r="AFM2" s="454" t="n"/>
      <c r="AFN2" s="454" t="n"/>
      <c r="AFO2" s="454" t="n"/>
      <c r="AFP2" s="454" t="n"/>
      <c r="AFQ2" s="454" t="n"/>
      <c r="AFR2" s="454" t="n"/>
      <c r="AFS2" s="454" t="n"/>
      <c r="AFT2" s="454" t="n"/>
      <c r="AFU2" s="454" t="n"/>
      <c r="AFV2" s="454" t="n"/>
      <c r="AFW2" s="454" t="n"/>
      <c r="AFX2" s="454" t="n"/>
      <c r="AFY2" s="454" t="n"/>
      <c r="AFZ2" s="454" t="n"/>
      <c r="AGA2" s="454" t="n"/>
      <c r="AGB2" s="454" t="n"/>
      <c r="AGC2" s="454" t="n"/>
      <c r="AGD2" s="454" t="n"/>
      <c r="AGE2" s="454" t="n"/>
      <c r="AGF2" s="454" t="n"/>
      <c r="AGG2" s="454" t="n"/>
      <c r="AGH2" s="454" t="n"/>
      <c r="AGI2" s="454" t="n"/>
      <c r="AGJ2" s="454" t="n"/>
      <c r="AGK2" s="454" t="n"/>
      <c r="AGL2" s="454" t="n"/>
      <c r="AGM2" s="454" t="n"/>
      <c r="AGN2" s="454" t="n"/>
      <c r="AGO2" s="454" t="n"/>
      <c r="AGP2" s="454" t="n"/>
      <c r="AGQ2" s="454" t="n"/>
      <c r="AGR2" s="454" t="n"/>
      <c r="AGS2" s="454" t="n"/>
      <c r="AGT2" s="454" t="n"/>
      <c r="AGU2" s="454" t="n"/>
      <c r="AGV2" s="454" t="n"/>
      <c r="AGW2" s="454" t="n"/>
      <c r="AGX2" s="454" t="n"/>
      <c r="AGY2" s="454" t="n"/>
      <c r="AGZ2" s="454" t="n"/>
      <c r="AHA2" s="454" t="n"/>
      <c r="AHB2" s="454" t="n"/>
      <c r="AHC2" s="454" t="n"/>
      <c r="AHD2" s="454" t="n"/>
      <c r="AHE2" s="454" t="n"/>
      <c r="AHF2" s="454" t="n"/>
      <c r="AHG2" s="454" t="n"/>
      <c r="AHH2" s="454" t="n"/>
      <c r="AHI2" s="454" t="n"/>
      <c r="AHJ2" s="454" t="n"/>
      <c r="AHK2" s="454" t="n"/>
      <c r="AHL2" s="454" t="n"/>
      <c r="AHM2" s="454" t="n"/>
      <c r="AHN2" s="454" t="n"/>
      <c r="AHO2" s="454" t="n"/>
      <c r="AHP2" s="454" t="n"/>
      <c r="AHQ2" s="454" t="n"/>
      <c r="AHR2" s="454" t="n"/>
      <c r="AHS2" s="454" t="n"/>
      <c r="AHT2" s="454" t="n"/>
      <c r="AHU2" s="454" t="n"/>
      <c r="AHV2" s="454" t="n"/>
      <c r="AHW2" s="454" t="n"/>
      <c r="AHX2" s="454" t="n"/>
      <c r="AHY2" s="454" t="n"/>
      <c r="AHZ2" s="454" t="n"/>
      <c r="AIA2" s="454" t="n"/>
      <c r="AIB2" s="454" t="n"/>
      <c r="AIC2" s="454" t="n"/>
      <c r="AID2" s="454" t="n"/>
      <c r="AIE2" s="454" t="n"/>
      <c r="AIF2" s="454" t="n"/>
      <c r="AIG2" s="454" t="n"/>
      <c r="AIH2" s="454" t="n"/>
      <c r="AII2" s="454" t="n"/>
      <c r="AIJ2" s="454" t="n"/>
      <c r="AIK2" s="454" t="n"/>
      <c r="AIL2" s="454" t="n"/>
      <c r="AIM2" s="454" t="n"/>
      <c r="AIN2" s="454" t="n"/>
      <c r="AIO2" s="454" t="n"/>
      <c r="AIP2" s="454" t="n"/>
      <c r="AIQ2" s="454" t="n"/>
      <c r="AIR2" s="454" t="n"/>
      <c r="AIS2" s="454" t="n"/>
      <c r="AIT2" s="454" t="n"/>
      <c r="AIU2" s="454" t="n"/>
      <c r="AIV2" s="454" t="n"/>
      <c r="AIW2" s="454" t="n"/>
      <c r="AIX2" s="454" t="n"/>
      <c r="AIY2" s="454" t="n"/>
      <c r="AIZ2" s="454" t="n"/>
      <c r="AJA2" s="454" t="n"/>
      <c r="AJB2" s="454" t="n"/>
      <c r="AJC2" s="454" t="n"/>
      <c r="AJD2" s="454" t="n"/>
      <c r="AJE2" s="454" t="n"/>
      <c r="AJF2" s="454" t="n"/>
      <c r="AJG2" s="454" t="n"/>
      <c r="AJH2" s="454" t="n"/>
      <c r="AJI2" s="454" t="n"/>
      <c r="AJJ2" s="454" t="n"/>
      <c r="AJK2" s="454" t="n"/>
      <c r="AJL2" s="454" t="n"/>
      <c r="AJM2" s="454" t="n"/>
      <c r="AJN2" s="454" t="n"/>
      <c r="AJO2" s="454" t="n"/>
      <c r="AJP2" s="454" t="n"/>
      <c r="AJQ2" s="454" t="n"/>
      <c r="AJR2" s="454" t="n"/>
      <c r="AJS2" s="454" t="n"/>
      <c r="AJT2" s="454" t="n"/>
      <c r="AJU2" s="454" t="n"/>
      <c r="AJV2" s="454" t="n"/>
      <c r="AJW2" s="454" t="n"/>
      <c r="AJX2" s="454" t="n"/>
      <c r="AJY2" s="454" t="n"/>
      <c r="AJZ2" s="454" t="n"/>
      <c r="AKA2" s="454" t="n"/>
      <c r="AKB2" s="454" t="n"/>
      <c r="AKC2" s="454" t="n"/>
      <c r="AKD2" s="454" t="n"/>
      <c r="AKE2" s="454" t="n"/>
      <c r="AKF2" s="454" t="n"/>
      <c r="AKG2" s="454" t="n"/>
      <c r="AKH2" s="454" t="n"/>
      <c r="AKI2" s="454" t="n"/>
      <c r="AKJ2" s="454" t="n"/>
      <c r="AKK2" s="454" t="n"/>
      <c r="AKL2" s="454" t="n"/>
      <c r="AKM2" s="454" t="n"/>
      <c r="AKN2" s="454" t="n"/>
      <c r="AKO2" s="454" t="n"/>
      <c r="AKP2" s="454" t="n"/>
      <c r="AKQ2" s="454" t="n"/>
      <c r="AKR2" s="454" t="n"/>
      <c r="AKS2" s="454" t="n"/>
      <c r="AKT2" s="454" t="n"/>
      <c r="AKU2" s="454" t="n"/>
      <c r="AKV2" s="454" t="n"/>
      <c r="AKW2" s="454" t="n"/>
      <c r="AKX2" s="454" t="n"/>
      <c r="AKY2" s="454" t="n"/>
      <c r="AKZ2" s="454" t="n"/>
      <c r="ALA2" s="454" t="n"/>
      <c r="ALB2" s="454" t="n"/>
      <c r="ALC2" s="454" t="n"/>
      <c r="ALD2" s="454" t="n"/>
      <c r="ALE2" s="454" t="n"/>
      <c r="ALF2" s="454" t="n"/>
      <c r="ALG2" s="454" t="n"/>
      <c r="ALH2" s="454" t="n"/>
      <c r="ALI2" s="454" t="n"/>
      <c r="ALJ2" s="454" t="n"/>
      <c r="ALK2" s="454" t="n"/>
      <c r="ALL2" s="454" t="n"/>
      <c r="ALM2" s="454" t="n"/>
      <c r="ALN2" s="454" t="n"/>
      <c r="ALO2" s="454" t="n"/>
      <c r="ALP2" s="454" t="n"/>
      <c r="ALQ2" s="454" t="n"/>
      <c r="ALR2" s="454" t="n"/>
      <c r="ALS2" s="454" t="n"/>
      <c r="ALT2" s="454" t="n"/>
      <c r="ALU2" s="454" t="n"/>
      <c r="ALV2" s="454" t="n"/>
      <c r="ALW2" s="454" t="n"/>
      <c r="ALX2" s="454" t="n"/>
      <c r="ALY2" s="454" t="n"/>
      <c r="ALZ2" s="454" t="n"/>
      <c r="AMA2" s="454" t="n"/>
      <c r="AMB2" s="454" t="n"/>
      <c r="AMC2" s="454" t="n"/>
      <c r="AMD2" s="454" t="n"/>
      <c r="AME2" s="454" t="n"/>
      <c r="AMF2" s="454" t="n"/>
      <c r="AMG2" s="454" t="n"/>
      <c r="AMH2" s="454" t="n"/>
      <c r="AMI2" s="454" t="n"/>
      <c r="AMJ2" s="454" t="n"/>
      <c r="AMK2" s="454" t="n"/>
      <c r="AML2" s="454" t="n"/>
    </row>
    <row r="3" customFormat="1" s="461">
      <c r="B3" s="462" t="n"/>
      <c r="E3" s="992" t="n"/>
      <c r="F3" s="992" t="n"/>
      <c r="G3" s="992" t="n"/>
      <c r="H3" s="992" t="n"/>
      <c r="I3" s="992" t="n"/>
      <c r="J3" s="992" t="n"/>
      <c r="K3" s="992" t="n"/>
      <c r="L3" s="992" t="n"/>
      <c r="M3" s="992" t="n"/>
    </row>
    <row r="4" ht="9.75" customFormat="1" customHeight="1" s="461">
      <c r="A4" s="462" t="n"/>
      <c r="C4" s="992" t="n"/>
      <c r="E4" s="992" t="n"/>
      <c r="F4" s="992" t="n"/>
      <c r="G4" s="992" t="n"/>
      <c r="H4" s="992" t="n"/>
      <c r="I4" s="992" t="n"/>
      <c r="J4" s="992" t="n"/>
      <c r="K4" s="992" t="n"/>
      <c r="L4" s="992" t="n"/>
      <c r="M4" s="992" t="n"/>
    </row>
    <row r="5" customFormat="1" s="461">
      <c r="A5" s="462" t="n"/>
      <c r="C5" s="992" t="n"/>
      <c r="E5" s="992" t="n"/>
      <c r="F5" s="992" t="n"/>
      <c r="G5" s="992" t="n"/>
      <c r="H5" s="992" t="n"/>
      <c r="I5" s="992" t="n"/>
      <c r="J5" s="992" t="n"/>
      <c r="K5" s="992" t="n"/>
      <c r="L5" s="992" t="n"/>
      <c r="M5" s="992" t="n"/>
    </row>
    <row r="6" customFormat="1" s="461">
      <c r="C6" s="992" t="n"/>
      <c r="E6" s="992" t="n"/>
      <c r="F6" s="992" t="n"/>
      <c r="G6" s="992" t="n"/>
      <c r="H6" s="992" t="n"/>
      <c r="I6" s="992" t="n"/>
      <c r="J6" s="992" t="n"/>
      <c r="K6" s="992" t="n"/>
      <c r="L6" s="992" t="n"/>
      <c r="M6" s="992" t="n"/>
    </row>
    <row r="7" ht="18" customHeight="1" s="885">
      <c r="A7" s="454" t="n"/>
      <c r="B7" s="464" t="n"/>
      <c r="C7" s="464" t="n"/>
      <c r="D7" s="464" t="n"/>
      <c r="E7" s="464" t="n"/>
      <c r="F7" s="464" t="n"/>
      <c r="G7" s="464" t="n"/>
      <c r="H7" s="464" t="n"/>
      <c r="I7" s="464" t="n"/>
    </row>
    <row r="8" ht="23" customHeight="1" s="885">
      <c r="A8" s="465" t="inlineStr">
        <is>
          <t>A. Risque spécifique</t>
        </is>
      </c>
      <c r="B8" s="466" t="n"/>
      <c r="C8" s="467" t="n"/>
      <c r="D8" s="467" t="n"/>
      <c r="E8" s="467" t="n"/>
      <c r="F8" s="467" t="n"/>
      <c r="G8" s="467" t="n"/>
      <c r="H8" s="467" t="n"/>
      <c r="I8" s="467" t="n"/>
    </row>
    <row r="9" ht="25.5" customFormat="1" customHeight="1" s="469">
      <c r="A9" s="820" t="inlineStr">
        <is>
          <t>Code DISPRU</t>
        </is>
      </c>
      <c r="B9" s="821" t="inlineStr">
        <is>
          <t>Poste</t>
        </is>
      </c>
      <c r="C9" s="820" t="inlineStr">
        <is>
          <t xml:space="preserve">Position </t>
        </is>
      </c>
      <c r="D9" s="894" t="n"/>
      <c r="E9" s="894" t="n"/>
      <c r="F9" s="894" t="n"/>
      <c r="G9" s="895" t="n"/>
      <c r="H9" s="820" t="inlineStr">
        <is>
          <t>Pondération</t>
        </is>
      </c>
      <c r="I9" s="820" t="inlineStr">
        <is>
          <t>Exigences de fonds propres</t>
        </is>
      </c>
    </row>
    <row r="10" ht="27.75" customFormat="1" customHeight="1" s="469">
      <c r="A10" s="958" t="n"/>
      <c r="B10" s="958" t="n"/>
      <c r="C10" s="820" t="inlineStr">
        <is>
          <t>Toutes les positions</t>
        </is>
      </c>
      <c r="D10" s="895" t="n"/>
      <c r="E10" s="820" t="inlineStr">
        <is>
          <t>Positions nettes</t>
        </is>
      </c>
      <c r="F10" s="895" t="n"/>
      <c r="G10" s="820" t="inlineStr">
        <is>
          <t xml:space="preserve">Positions soumises aux exigences de fonds propres </t>
        </is>
      </c>
      <c r="H10" s="958" t="n"/>
      <c r="I10" s="958" t="n"/>
    </row>
    <row r="11" ht="61.5" customFormat="1" customHeight="1" s="469">
      <c r="A11" s="896" t="n"/>
      <c r="B11" s="896" t="n"/>
      <c r="C11" s="820" t="inlineStr">
        <is>
          <t>Longues</t>
        </is>
      </c>
      <c r="D11" s="820" t="inlineStr">
        <is>
          <t>Courtes</t>
        </is>
      </c>
      <c r="E11" s="820" t="inlineStr">
        <is>
          <t>Longues</t>
        </is>
      </c>
      <c r="F11" s="820" t="inlineStr">
        <is>
          <t>Courtes</t>
        </is>
      </c>
      <c r="G11" s="896" t="n"/>
      <c r="H11" s="896" t="n"/>
      <c r="I11" s="896" t="n"/>
    </row>
    <row r="12" ht="34.5" customHeight="1" s="885">
      <c r="A12" s="470" t="inlineStr">
        <is>
          <t>RM001</t>
        </is>
      </c>
      <c r="B12" s="471" t="inlineStr">
        <is>
          <t>Titres souverains, notés AAA à A-</t>
        </is>
      </c>
      <c r="C12" s="472" t="n"/>
      <c r="D12" s="472" t="n"/>
      <c r="E12" s="472" t="n"/>
      <c r="F12" s="472" t="n"/>
      <c r="G12" s="472" t="n"/>
      <c r="H12" s="993" t="n">
        <v>0</v>
      </c>
      <c r="I12" s="472" t="n">
        <v>0</v>
      </c>
    </row>
    <row r="13" ht="34.5" customHeight="1" s="885">
      <c r="A13" s="470" t="inlineStr">
        <is>
          <t>RM002</t>
        </is>
      </c>
      <c r="B13" s="471" t="inlineStr">
        <is>
          <t>Titres Etats UMOA libellés et financés en FCFA</t>
        </is>
      </c>
      <c r="C13" s="472" t="n"/>
      <c r="D13" s="472" t="n"/>
      <c r="E13" s="472" t="n"/>
      <c r="F13" s="472" t="n"/>
      <c r="G13" s="472" t="n"/>
      <c r="H13" s="993" t="n">
        <v>0</v>
      </c>
      <c r="I13" s="472" t="n">
        <v>0</v>
      </c>
    </row>
    <row r="14" ht="34.5" customHeight="1" s="885">
      <c r="A14" s="470" t="inlineStr">
        <is>
          <t>RM003</t>
        </is>
      </c>
      <c r="B14" s="471" t="inlineStr">
        <is>
          <t>Titres souverains, notés  A+ à BBB-, durée résiduelle ≤ 6 mois</t>
        </is>
      </c>
      <c r="C14" s="472" t="n"/>
      <c r="D14" s="472" t="n"/>
      <c r="E14" s="472" t="n"/>
      <c r="F14" s="472" t="n"/>
      <c r="G14" s="472" t="n"/>
      <c r="H14" s="994" t="n">
        <v>0.0025</v>
      </c>
      <c r="I14" s="472" t="n">
        <v>0</v>
      </c>
    </row>
    <row r="15" ht="34.5" customHeight="1" s="885">
      <c r="A15" s="470" t="inlineStr">
        <is>
          <t>RM004</t>
        </is>
      </c>
      <c r="B15" s="471" t="inlineStr">
        <is>
          <t>Titres souverains, notés  A+ à BBB-, durée résiduelle &gt; 6 mois et ≤ 24 mois</t>
        </is>
      </c>
      <c r="C15" s="472" t="n"/>
      <c r="D15" s="472" t="n"/>
      <c r="E15" s="472" t="n"/>
      <c r="F15" s="472" t="n"/>
      <c r="G15" s="472" t="n"/>
      <c r="H15" s="993" t="n">
        <v>0.01</v>
      </c>
      <c r="I15" s="472" t="n">
        <v>0</v>
      </c>
    </row>
    <row r="16" ht="34.5" customHeight="1" s="885">
      <c r="A16" s="470" t="inlineStr">
        <is>
          <t>RM005</t>
        </is>
      </c>
      <c r="B16" s="471" t="inlineStr">
        <is>
          <t>Titres souverains, notés  A+ à BBB-, durée résiduelle &gt; 24 mois</t>
        </is>
      </c>
      <c r="C16" s="472" t="n"/>
      <c r="D16" s="472" t="n"/>
      <c r="E16" s="472" t="n"/>
      <c r="F16" s="472" t="n"/>
      <c r="G16" s="472" t="n"/>
      <c r="H16" s="995" t="n">
        <v>0.016</v>
      </c>
      <c r="I16" s="472" t="n">
        <v>0</v>
      </c>
    </row>
    <row r="17" ht="34.5" customHeight="1" s="885">
      <c r="A17" s="470" t="inlineStr">
        <is>
          <t>RM006</t>
        </is>
      </c>
      <c r="B17" s="470" t="inlineStr">
        <is>
          <t>Titres souverains, notés  BB+ à B-</t>
        </is>
      </c>
      <c r="C17" s="472" t="n"/>
      <c r="D17" s="472" t="n"/>
      <c r="E17" s="472" t="n"/>
      <c r="F17" s="472" t="n"/>
      <c r="G17" s="472" t="n"/>
      <c r="H17" s="993" t="n">
        <v>0.08</v>
      </c>
      <c r="I17" s="472" t="n">
        <v>0</v>
      </c>
    </row>
    <row r="18" ht="34.5" customHeight="1" s="885">
      <c r="A18" s="470" t="inlineStr">
        <is>
          <t>RM007</t>
        </is>
      </c>
      <c r="B18" s="471" t="inlineStr">
        <is>
          <t>Titres souverains, notés  sous B-</t>
        </is>
      </c>
      <c r="C18" s="472" t="n"/>
      <c r="D18" s="472" t="n"/>
      <c r="E18" s="472" t="n"/>
      <c r="F18" s="472" t="n"/>
      <c r="G18" s="472" t="n"/>
      <c r="H18" s="993" t="n">
        <v>0.12</v>
      </c>
      <c r="I18" s="472" t="n">
        <v>0</v>
      </c>
    </row>
    <row r="19" ht="34.5" customHeight="1" s="885">
      <c r="A19" s="470" t="inlineStr">
        <is>
          <t>RM008</t>
        </is>
      </c>
      <c r="B19" s="471" t="inlineStr">
        <is>
          <t xml:space="preserve">Titres souverains, non notés </t>
        </is>
      </c>
      <c r="C19" s="472" t="n"/>
      <c r="D19" s="472" t="n"/>
      <c r="E19" s="472" t="n"/>
      <c r="F19" s="472" t="n"/>
      <c r="G19" s="472" t="n"/>
      <c r="H19" s="993" t="n">
        <v>0.08</v>
      </c>
      <c r="I19" s="472" t="n">
        <v>0</v>
      </c>
    </row>
    <row r="20" ht="34.5" customHeight="1" s="885">
      <c r="A20" s="470" t="inlineStr">
        <is>
          <t>RM009</t>
        </is>
      </c>
      <c r="B20" s="471" t="inlineStr">
        <is>
          <t>Titres éligibles, durée résiduelle ≤ 6 mois</t>
        </is>
      </c>
      <c r="C20" s="472" t="n"/>
      <c r="D20" s="472" t="n"/>
      <c r="E20" s="472" t="n"/>
      <c r="F20" s="472" t="n"/>
      <c r="G20" s="472" t="n"/>
      <c r="H20" s="994" t="n">
        <v>0.0025</v>
      </c>
      <c r="I20" s="472" t="n">
        <v>0</v>
      </c>
    </row>
    <row r="21" ht="34.5" customHeight="1" s="885">
      <c r="A21" s="470" t="inlineStr">
        <is>
          <t>RM010</t>
        </is>
      </c>
      <c r="B21" s="471" t="inlineStr">
        <is>
          <t>Titres éligibles, durée résiduelle &gt; 6 mois et ≤ 24 mois</t>
        </is>
      </c>
      <c r="C21" s="472" t="n"/>
      <c r="D21" s="472" t="n"/>
      <c r="E21" s="472" t="n"/>
      <c r="F21" s="472" t="n"/>
      <c r="G21" s="472" t="n"/>
      <c r="H21" s="993" t="n">
        <v>0.01</v>
      </c>
      <c r="I21" s="472" t="n">
        <v>0</v>
      </c>
    </row>
    <row r="22" ht="34.5" customHeight="1" s="885">
      <c r="A22" s="470" t="inlineStr">
        <is>
          <t>RM011</t>
        </is>
      </c>
      <c r="B22" s="471" t="inlineStr">
        <is>
          <t>Titres éligibles, durée résiduelle &gt; 24 mois</t>
        </is>
      </c>
      <c r="C22" s="472" t="n"/>
      <c r="D22" s="472" t="n"/>
      <c r="E22" s="472" t="n"/>
      <c r="F22" s="472" t="n"/>
      <c r="G22" s="472" t="n"/>
      <c r="H22" s="995" t="n">
        <v>0.016</v>
      </c>
      <c r="I22" s="472" t="n">
        <v>0</v>
      </c>
    </row>
    <row r="23" ht="34.5" customHeight="1" s="885">
      <c r="A23" s="470" t="inlineStr">
        <is>
          <t>RM012</t>
        </is>
      </c>
      <c r="B23" s="471" t="inlineStr">
        <is>
          <t>Autres titres, notés BB+ à BB-</t>
        </is>
      </c>
      <c r="C23" s="472" t="n"/>
      <c r="D23" s="472" t="n"/>
      <c r="E23" s="472" t="n"/>
      <c r="F23" s="472" t="n"/>
      <c r="G23" s="472" t="n"/>
      <c r="H23" s="993" t="n">
        <v>0.08</v>
      </c>
      <c r="I23" s="472" t="n">
        <v>0</v>
      </c>
    </row>
    <row r="24" ht="34.5" customHeight="1" s="885">
      <c r="A24" s="470" t="inlineStr">
        <is>
          <t>RM013</t>
        </is>
      </c>
      <c r="B24" s="471" t="inlineStr">
        <is>
          <t>Autres titres, notés sous BB-</t>
        </is>
      </c>
      <c r="C24" s="472" t="n"/>
      <c r="D24" s="472" t="n"/>
      <c r="E24" s="472" t="n"/>
      <c r="F24" s="472" t="n"/>
      <c r="G24" s="472" t="n"/>
      <c r="H24" s="993" t="n">
        <v>0.12</v>
      </c>
      <c r="I24" s="472" t="n">
        <v>0</v>
      </c>
    </row>
    <row r="25" ht="34.5" customHeight="1" s="885">
      <c r="A25" s="470" t="inlineStr">
        <is>
          <t>RM014</t>
        </is>
      </c>
      <c r="B25" s="471" t="inlineStr">
        <is>
          <t>Autres titres, non notés</t>
        </is>
      </c>
      <c r="C25" s="472" t="n"/>
      <c r="D25" s="472" t="n"/>
      <c r="E25" s="472" t="n"/>
      <c r="F25" s="472" t="n"/>
      <c r="G25" s="472" t="n"/>
      <c r="H25" s="993" t="n">
        <v>0.08</v>
      </c>
      <c r="I25" s="472" t="n">
        <v>0</v>
      </c>
    </row>
    <row r="26" ht="24.75" customHeight="1" s="885">
      <c r="A26" s="828" t="n"/>
      <c r="B26" s="928" t="n"/>
      <c r="C26" s="928" t="n"/>
      <c r="D26" s="928" t="n"/>
      <c r="E26" s="928" t="n"/>
      <c r="F26" s="928" t="n"/>
      <c r="G26" s="928" t="n"/>
      <c r="H26" s="928" t="n"/>
      <c r="I26" s="929" t="n"/>
    </row>
    <row r="27" ht="26.25" customFormat="1" customHeight="1" s="480">
      <c r="A27" s="470" t="inlineStr">
        <is>
          <t>RM015</t>
        </is>
      </c>
      <c r="B27" s="476" t="inlineStr">
        <is>
          <t xml:space="preserve">Fonds propres pour risque spécifique </t>
        </is>
      </c>
      <c r="C27" s="477" t="n"/>
      <c r="D27" s="477" t="n"/>
      <c r="E27" s="477" t="n"/>
      <c r="F27" s="477" t="n"/>
      <c r="G27" s="996" t="n"/>
      <c r="H27" s="996" t="n"/>
      <c r="I27" s="479" t="n">
        <v>0</v>
      </c>
    </row>
    <row r="28">
      <c r="A28" s="481" t="n"/>
      <c r="B28" s="482" t="n"/>
      <c r="C28" s="483" t="n"/>
      <c r="D28" s="482" t="n"/>
      <c r="E28" s="483" t="n"/>
      <c r="F28" s="483" t="n"/>
      <c r="G28" s="483" t="n"/>
      <c r="H28" s="483" t="n"/>
      <c r="I28" s="483" t="n"/>
    </row>
    <row r="29" ht="23" customHeight="1" s="885">
      <c r="A29" s="465" t="inlineStr">
        <is>
          <t>B. Risque général</t>
        </is>
      </c>
      <c r="B29" s="484" t="n"/>
      <c r="C29" s="485" t="n"/>
      <c r="D29" s="485" t="n"/>
      <c r="E29" s="485" t="n"/>
      <c r="F29" s="485" t="n"/>
      <c r="G29" s="485" t="n"/>
      <c r="H29" s="485" t="n"/>
      <c r="I29" s="467" t="n"/>
    </row>
    <row r="30" ht="18" customFormat="1" customHeight="1" s="469">
      <c r="A30" s="820" t="inlineStr">
        <is>
          <t>Code DISPRU</t>
        </is>
      </c>
      <c r="B30" s="821" t="inlineStr">
        <is>
          <t>Poste</t>
        </is>
      </c>
      <c r="C30" s="820" t="inlineStr">
        <is>
          <t xml:space="preserve">Positions </t>
        </is>
      </c>
      <c r="D30" s="894" t="n"/>
      <c r="E30" s="894" t="n"/>
      <c r="F30" s="894" t="n"/>
      <c r="G30" s="895" t="n"/>
      <c r="H30" s="820" t="inlineStr">
        <is>
          <t>Pondération</t>
        </is>
      </c>
      <c r="I30" s="827" t="inlineStr">
        <is>
          <t>Exigences de fonds propres</t>
        </is>
      </c>
    </row>
    <row r="31" ht="22.5" customFormat="1" customHeight="1" s="469">
      <c r="A31" s="958" t="n"/>
      <c r="B31" s="958" t="n"/>
      <c r="C31" s="820" t="inlineStr">
        <is>
          <t>Toutes les positions</t>
        </is>
      </c>
      <c r="D31" s="895" t="n"/>
      <c r="E31" s="820" t="inlineStr">
        <is>
          <t>Positions nettes</t>
        </is>
      </c>
      <c r="F31" s="895" t="n"/>
      <c r="G31" s="820" t="inlineStr">
        <is>
          <t xml:space="preserve">Positions soumises aux exigences de fonds propres </t>
        </is>
      </c>
      <c r="H31" s="958" t="n"/>
      <c r="I31" s="958" t="n"/>
    </row>
    <row r="32" ht="71.25" customFormat="1" customHeight="1" s="469">
      <c r="A32" s="896" t="n"/>
      <c r="B32" s="896" t="n"/>
      <c r="C32" s="820" t="inlineStr">
        <is>
          <t>Longues</t>
        </is>
      </c>
      <c r="D32" s="820" t="inlineStr">
        <is>
          <t>Courtes</t>
        </is>
      </c>
      <c r="E32" s="820" t="inlineStr">
        <is>
          <t>Longues</t>
        </is>
      </c>
      <c r="F32" s="820" t="inlineStr">
        <is>
          <t>Courtes</t>
        </is>
      </c>
      <c r="G32" s="896" t="n"/>
      <c r="H32" s="896" t="n"/>
      <c r="I32" s="958" t="n"/>
    </row>
    <row r="33" ht="22.5" customHeight="1" s="885">
      <c r="A33" s="470" t="inlineStr">
        <is>
          <t>RM125</t>
        </is>
      </c>
      <c r="B33" s="471" t="inlineStr">
        <is>
          <t>Zone 1</t>
        </is>
      </c>
      <c r="C33" s="487" t="n"/>
      <c r="D33" s="487" t="n"/>
      <c r="E33" s="472" t="n">
        <v>0</v>
      </c>
      <c r="F33" s="472" t="n">
        <v>0</v>
      </c>
      <c r="G33" s="488" t="n"/>
      <c r="H33" s="488" t="n"/>
      <c r="I33" s="489" t="n"/>
    </row>
    <row r="34" ht="22.5" customHeight="1" s="885">
      <c r="A34" s="470" t="inlineStr">
        <is>
          <t>RM016</t>
        </is>
      </c>
      <c r="B34" s="490" t="inlineStr">
        <is>
          <t xml:space="preserve">                 0 ≤ 1 mois</t>
        </is>
      </c>
      <c r="C34" s="491" t="n"/>
      <c r="D34" s="492" t="n"/>
      <c r="E34" s="493" t="n"/>
      <c r="F34" s="472" t="n"/>
      <c r="G34" s="494" t="n"/>
      <c r="H34" s="488" t="n"/>
      <c r="I34" s="494" t="n"/>
    </row>
    <row r="35" ht="22.5" customHeight="1" s="885">
      <c r="A35" s="470" t="inlineStr">
        <is>
          <t>RM017</t>
        </is>
      </c>
      <c r="B35" s="490" t="inlineStr">
        <is>
          <t xml:space="preserve">                 &gt; 1 ≤ 3 mois</t>
        </is>
      </c>
      <c r="C35" s="495" t="n"/>
      <c r="D35" s="496" t="n"/>
      <c r="E35" s="493" t="n"/>
      <c r="F35" s="472" t="n"/>
      <c r="G35" s="494" t="n"/>
      <c r="H35" s="488" t="n"/>
      <c r="I35" s="494" t="n"/>
    </row>
    <row r="36" ht="22.5" customHeight="1" s="885">
      <c r="A36" s="470" t="inlineStr">
        <is>
          <t>RM018</t>
        </is>
      </c>
      <c r="B36" s="490" t="inlineStr">
        <is>
          <t xml:space="preserve">                 &gt; 3 ≤ 6 mois</t>
        </is>
      </c>
      <c r="C36" s="495" t="n"/>
      <c r="D36" s="496" t="n"/>
      <c r="E36" s="493" t="n"/>
      <c r="F36" s="472" t="n"/>
      <c r="G36" s="494" t="n"/>
      <c r="H36" s="488" t="n"/>
      <c r="I36" s="494" t="n"/>
    </row>
    <row r="37" ht="22.5" customHeight="1" s="885">
      <c r="A37" s="470" t="inlineStr">
        <is>
          <t>RM019</t>
        </is>
      </c>
      <c r="B37" s="490" t="inlineStr">
        <is>
          <t xml:space="preserve">                 &gt; 6 ≤ 12 mois</t>
        </is>
      </c>
      <c r="C37" s="497" t="n"/>
      <c r="D37" s="498" t="n"/>
      <c r="E37" s="493" t="n"/>
      <c r="F37" s="472" t="n"/>
      <c r="G37" s="494" t="n"/>
      <c r="H37" s="488" t="n"/>
      <c r="I37" s="494" t="n"/>
    </row>
    <row r="38" ht="22.5" customHeight="1" s="885">
      <c r="A38" s="470" t="inlineStr">
        <is>
          <t>RM126</t>
        </is>
      </c>
      <c r="B38" s="470" t="inlineStr">
        <is>
          <t>Zone 2</t>
        </is>
      </c>
      <c r="C38" s="499" t="n"/>
      <c r="D38" s="499" t="n"/>
      <c r="E38" s="472" t="n">
        <v>0</v>
      </c>
      <c r="F38" s="472" t="n">
        <v>0</v>
      </c>
      <c r="G38" s="494" t="n"/>
      <c r="H38" s="488" t="n"/>
      <c r="I38" s="494" t="n"/>
    </row>
    <row r="39" ht="22.5" customHeight="1" s="885">
      <c r="A39" s="470" t="inlineStr">
        <is>
          <t>RM020</t>
        </is>
      </c>
      <c r="B39" s="490" t="inlineStr">
        <is>
          <t xml:space="preserve">                 &gt; 1 ≤ 2 (1,9 pour un coupon de moins de 3 %) ans</t>
        </is>
      </c>
      <c r="C39" s="491" t="n"/>
      <c r="D39" s="492" t="n"/>
      <c r="E39" s="493" t="n"/>
      <c r="F39" s="472" t="n"/>
      <c r="G39" s="494" t="n"/>
      <c r="H39" s="488" t="n"/>
      <c r="I39" s="494" t="n"/>
    </row>
    <row r="40" ht="22.5" customHeight="1" s="885">
      <c r="A40" s="470" t="inlineStr">
        <is>
          <t>RM021</t>
        </is>
      </c>
      <c r="B40" s="490" t="inlineStr">
        <is>
          <t xml:space="preserve">                 &gt; 2 ≤ 3 (&gt; 1,9 ≤ 2,8 pour un coupon de moins de 3 %) ans</t>
        </is>
      </c>
      <c r="C40" s="495" t="n"/>
      <c r="D40" s="496" t="n"/>
      <c r="E40" s="493" t="n"/>
      <c r="F40" s="472" t="n"/>
      <c r="G40" s="494" t="n"/>
      <c r="H40" s="488" t="n"/>
      <c r="I40" s="494" t="n"/>
    </row>
    <row r="41" ht="22.5" customHeight="1" s="885">
      <c r="A41" s="470" t="inlineStr">
        <is>
          <t>RM022</t>
        </is>
      </c>
      <c r="B41" s="490" t="inlineStr">
        <is>
          <t xml:space="preserve">                 &gt; 3 ≤ 4 (&gt; 2,8 ≤ 3,6 pour un coupon de moins de 3 %) ans</t>
        </is>
      </c>
      <c r="C41" s="495" t="n"/>
      <c r="D41" s="496" t="n"/>
      <c r="E41" s="493" t="n"/>
      <c r="F41" s="472" t="n"/>
      <c r="G41" s="494" t="n"/>
      <c r="H41" s="488" t="n"/>
      <c r="I41" s="494" t="n"/>
    </row>
    <row r="42" ht="22.5" customHeight="1" s="885">
      <c r="A42" s="470" t="inlineStr">
        <is>
          <t>RM023</t>
        </is>
      </c>
      <c r="B42" s="490" t="inlineStr">
        <is>
          <t xml:space="preserve">                 &gt; 4 ≤ 5 (&gt; 3,6 ≤ 4,3 pour un coupon de moins de 3 %) ans</t>
        </is>
      </c>
      <c r="C42" s="497" t="n"/>
      <c r="D42" s="498" t="n"/>
      <c r="E42" s="493" t="n"/>
      <c r="F42" s="472" t="n"/>
      <c r="G42" s="494" t="n"/>
      <c r="H42" s="488" t="n"/>
      <c r="I42" s="494" t="n"/>
    </row>
    <row r="43" ht="22.5" customHeight="1" s="885">
      <c r="A43" s="470" t="inlineStr">
        <is>
          <t>RM127</t>
        </is>
      </c>
      <c r="B43" s="470" t="inlineStr">
        <is>
          <t>Zone 3</t>
        </is>
      </c>
      <c r="C43" s="499" t="n"/>
      <c r="D43" s="499" t="n"/>
      <c r="E43" s="472" t="n">
        <v>0</v>
      </c>
      <c r="F43" s="472" t="n">
        <v>0</v>
      </c>
      <c r="G43" s="494" t="n"/>
      <c r="H43" s="488" t="n"/>
      <c r="I43" s="494" t="n"/>
    </row>
    <row r="44" ht="22.5" customHeight="1" s="885">
      <c r="A44" s="470" t="inlineStr">
        <is>
          <t>RM024</t>
        </is>
      </c>
      <c r="B44" s="490" t="inlineStr">
        <is>
          <t xml:space="preserve">                 &gt; 5 ≤ 7 (&gt; 4,3 ≤ 5,7 pour un coupon de moins de 3 %) ans</t>
        </is>
      </c>
      <c r="C44" s="491" t="n"/>
      <c r="D44" s="492" t="n"/>
      <c r="E44" s="493" t="n"/>
      <c r="F44" s="472" t="n"/>
      <c r="G44" s="494" t="n"/>
      <c r="H44" s="488" t="n"/>
      <c r="I44" s="494" t="n"/>
    </row>
    <row r="45" ht="22.5" customHeight="1" s="885">
      <c r="A45" s="470" t="inlineStr">
        <is>
          <t>RM025</t>
        </is>
      </c>
      <c r="B45" s="490" t="inlineStr">
        <is>
          <t xml:space="preserve">                 &gt; 7 ≤ 10 (&gt; 5,7 ≤ 7,3 pour un coupon de moins de 3 %) ans</t>
        </is>
      </c>
      <c r="C45" s="495" t="n"/>
      <c r="D45" s="496" t="n"/>
      <c r="E45" s="493" t="n"/>
      <c r="F45" s="472" t="n"/>
      <c r="G45" s="494" t="n"/>
      <c r="H45" s="488" t="n"/>
      <c r="I45" s="494" t="n"/>
    </row>
    <row r="46" ht="22.5" customHeight="1" s="885">
      <c r="A46" s="470" t="inlineStr">
        <is>
          <t>RM026</t>
        </is>
      </c>
      <c r="B46" s="490" t="inlineStr">
        <is>
          <t xml:space="preserve">                 &gt; 10 ≤ 15 (&gt; 7,3 ≤ 9,3 pour un coupon de moins de 3 %) ans</t>
        </is>
      </c>
      <c r="C46" s="495" t="n"/>
      <c r="D46" s="496" t="n"/>
      <c r="E46" s="493" t="n"/>
      <c r="F46" s="472" t="n"/>
      <c r="G46" s="494" t="n"/>
      <c r="H46" s="488" t="n"/>
      <c r="I46" s="488" t="n"/>
    </row>
    <row r="47" ht="22.5" customHeight="1" s="885">
      <c r="A47" s="470" t="inlineStr">
        <is>
          <t>RM027</t>
        </is>
      </c>
      <c r="B47" s="490" t="inlineStr">
        <is>
          <t xml:space="preserve">                 &gt; 15 ≤ 20 (&gt; 9,3 ≤ 10,6 pour un coupon de moins de 3 %) ans</t>
        </is>
      </c>
      <c r="C47" s="495" t="n"/>
      <c r="D47" s="496" t="n"/>
      <c r="E47" s="493" t="n"/>
      <c r="F47" s="472" t="n"/>
      <c r="G47" s="494" t="n"/>
      <c r="H47" s="488" t="n"/>
      <c r="I47" s="488" t="n"/>
    </row>
    <row r="48" ht="22.5" customHeight="1" s="885">
      <c r="A48" s="470" t="inlineStr">
        <is>
          <t>RM028</t>
        </is>
      </c>
      <c r="B48" s="490" t="inlineStr">
        <is>
          <t xml:space="preserve">                 &gt; 20 (&gt; 10,6 ≤ 12,0 pour un coupon de moins de 3 %) ans</t>
        </is>
      </c>
      <c r="C48" s="495" t="n"/>
      <c r="D48" s="496" t="n"/>
      <c r="E48" s="493" t="n"/>
      <c r="F48" s="472" t="n"/>
      <c r="G48" s="494" t="n"/>
      <c r="H48" s="488" t="n"/>
      <c r="I48" s="488" t="n"/>
    </row>
    <row r="49" ht="22.5" customHeight="1" s="885">
      <c r="A49" s="470" t="inlineStr">
        <is>
          <t>RM029</t>
        </is>
      </c>
      <c r="B49" s="490" t="inlineStr">
        <is>
          <t xml:space="preserve">                 (&gt; 12,0 ≤ 20,0 pour un coupon de moins de 3 %) ans</t>
        </is>
      </c>
      <c r="C49" s="495" t="n"/>
      <c r="D49" s="496" t="n"/>
      <c r="E49" s="493" t="n"/>
      <c r="F49" s="472" t="n"/>
      <c r="G49" s="494" t="n"/>
      <c r="H49" s="488" t="n"/>
      <c r="I49" s="488" t="n"/>
    </row>
    <row r="50" ht="22.5" customHeight="1" s="885">
      <c r="A50" s="470" t="inlineStr">
        <is>
          <t>RM030</t>
        </is>
      </c>
      <c r="B50" s="490" t="inlineStr">
        <is>
          <t xml:space="preserve">                 (&gt; 20 pour un coupon de moins de 3 %) ans</t>
        </is>
      </c>
      <c r="C50" s="495" t="n"/>
      <c r="D50" s="496" t="n"/>
      <c r="E50" s="493" t="n"/>
      <c r="F50" s="472" t="n"/>
      <c r="G50" s="494" t="n"/>
      <c r="H50" s="500" t="n"/>
      <c r="I50" s="500" t="n"/>
    </row>
    <row r="51" ht="22.5" customHeight="1" s="885">
      <c r="A51" s="470" t="inlineStr">
        <is>
          <t>RM031</t>
        </is>
      </c>
      <c r="B51" s="490" t="inlineStr">
        <is>
          <t>∑  Positions pondérées équilibrées pour toutes les tranches</t>
        </is>
      </c>
      <c r="C51" s="501" t="n"/>
      <c r="D51" s="488" t="n"/>
      <c r="E51" s="502" t="n"/>
      <c r="F51" s="503" t="n"/>
      <c r="G51" s="472" t="n"/>
      <c r="H51" s="993" t="n">
        <v>0.1</v>
      </c>
      <c r="I51" s="472" t="n">
        <v>0</v>
      </c>
    </row>
    <row r="52" ht="22.5" customHeight="1" s="885">
      <c r="A52" s="470" t="inlineStr">
        <is>
          <t>RM032</t>
        </is>
      </c>
      <c r="B52" s="490" t="inlineStr">
        <is>
          <t>∑  Positions pondérées équilibrées dans la plage 1</t>
        </is>
      </c>
      <c r="C52" s="501" t="n"/>
      <c r="D52" s="488" t="n"/>
      <c r="E52" s="504" t="n"/>
      <c r="F52" s="488" t="n"/>
      <c r="G52" s="472" t="n"/>
      <c r="H52" s="993" t="n">
        <v>0.4</v>
      </c>
      <c r="I52" s="472" t="n">
        <v>0</v>
      </c>
    </row>
    <row r="53" ht="22.5" customHeight="1" s="885">
      <c r="A53" s="470" t="inlineStr">
        <is>
          <t>RM033</t>
        </is>
      </c>
      <c r="B53" s="490" t="inlineStr">
        <is>
          <t>∑  Positions pondérées équilibrées dans la plage 2</t>
        </is>
      </c>
      <c r="C53" s="501" t="n"/>
      <c r="D53" s="488" t="n"/>
      <c r="E53" s="504" t="n"/>
      <c r="F53" s="488" t="n"/>
      <c r="G53" s="472" t="n"/>
      <c r="H53" s="993" t="n">
        <v>0.3</v>
      </c>
      <c r="I53" s="472" t="n">
        <v>0</v>
      </c>
    </row>
    <row r="54" ht="22.5" customHeight="1" s="885">
      <c r="A54" s="470" t="inlineStr">
        <is>
          <t>RM034</t>
        </is>
      </c>
      <c r="B54" s="490" t="inlineStr">
        <is>
          <t>∑  Positions pondérées équilibrées dans la plage 3</t>
        </is>
      </c>
      <c r="C54" s="501" t="n"/>
      <c r="D54" s="488" t="n"/>
      <c r="E54" s="504" t="n"/>
      <c r="F54" s="488" t="n"/>
      <c r="G54" s="472" t="n"/>
      <c r="H54" s="993" t="n">
        <v>0.3</v>
      </c>
      <c r="I54" s="472" t="n">
        <v>0</v>
      </c>
    </row>
    <row r="55" ht="22.5" customHeight="1" s="885">
      <c r="A55" s="470" t="inlineStr">
        <is>
          <t>RM035</t>
        </is>
      </c>
      <c r="B55" s="490" t="inlineStr">
        <is>
          <t>∑  Positions pondérées équilibrées entre les plages 1 et 2</t>
        </is>
      </c>
      <c r="C55" s="501" t="n"/>
      <c r="D55" s="488" t="n"/>
      <c r="E55" s="504" t="n"/>
      <c r="F55" s="488" t="n"/>
      <c r="G55" s="472" t="n"/>
      <c r="H55" s="993" t="n">
        <v>0.4</v>
      </c>
      <c r="I55" s="472" t="n">
        <v>0</v>
      </c>
    </row>
    <row r="56" ht="22.5" customHeight="1" s="885">
      <c r="A56" s="470" t="inlineStr">
        <is>
          <t>RM036</t>
        </is>
      </c>
      <c r="B56" s="490" t="inlineStr">
        <is>
          <t>∑  Positions pondérées équilibrées entre les plages 2 et 3</t>
        </is>
      </c>
      <c r="C56" s="501" t="n"/>
      <c r="D56" s="488" t="n"/>
      <c r="E56" s="504" t="n"/>
      <c r="F56" s="488" t="n"/>
      <c r="G56" s="472" t="n"/>
      <c r="H56" s="993" t="n">
        <v>0.4</v>
      </c>
      <c r="I56" s="472" t="n">
        <v>0</v>
      </c>
    </row>
    <row r="57" ht="22.5" customHeight="1" s="885">
      <c r="A57" s="470" t="inlineStr">
        <is>
          <t>RM037</t>
        </is>
      </c>
      <c r="B57" s="490" t="inlineStr">
        <is>
          <t>∑  Positions pondérées équilibrées entre les plages 1 et 3</t>
        </is>
      </c>
      <c r="C57" s="501" t="n"/>
      <c r="D57" s="488" t="n"/>
      <c r="E57" s="504" t="n"/>
      <c r="F57" s="488" t="n"/>
      <c r="G57" s="472" t="n"/>
      <c r="H57" s="993" t="n">
        <v>1</v>
      </c>
      <c r="I57" s="472" t="n">
        <v>0</v>
      </c>
    </row>
    <row r="58" ht="22.5" customHeight="1" s="885">
      <c r="A58" s="470" t="inlineStr">
        <is>
          <t>RM038</t>
        </is>
      </c>
      <c r="B58" s="490" t="inlineStr">
        <is>
          <t>∑  Positions pondérées non équilibrées résiduelles</t>
        </is>
      </c>
      <c r="C58" s="505" t="n"/>
      <c r="D58" s="500" t="n"/>
      <c r="E58" s="506" t="n"/>
      <c r="F58" s="500" t="n"/>
      <c r="G58" s="472" t="n"/>
      <c r="H58" s="993" t="n">
        <v>1</v>
      </c>
      <c r="I58" s="472" t="n">
        <v>0</v>
      </c>
    </row>
    <row r="59" ht="13.5" customHeight="1" s="885">
      <c r="A59" s="824" t="n"/>
      <c r="B59" s="894" t="n"/>
      <c r="C59" s="894" t="n"/>
      <c r="D59" s="894" t="n"/>
      <c r="E59" s="894" t="n"/>
      <c r="F59" s="894" t="n"/>
      <c r="G59" s="894" t="n"/>
      <c r="H59" s="894" t="n"/>
      <c r="I59" s="483" t="n"/>
    </row>
    <row r="60" ht="23" customFormat="1" customHeight="1" s="480">
      <c r="A60" s="470" t="inlineStr">
        <is>
          <t>RM039</t>
        </is>
      </c>
      <c r="B60" s="476" t="inlineStr">
        <is>
          <t>Fonds propres pour risque général</t>
        </is>
      </c>
      <c r="C60" s="477" t="n"/>
      <c r="D60" s="477" t="n"/>
      <c r="E60" s="477" t="n"/>
      <c r="F60" s="477" t="n"/>
      <c r="G60" s="996" t="n"/>
      <c r="H60" s="996" t="n"/>
      <c r="I60" s="472" t="n">
        <v>0</v>
      </c>
    </row>
    <row r="61" ht="13.5" customHeight="1" s="885">
      <c r="A61" s="824" t="n"/>
      <c r="B61" s="894" t="n"/>
      <c r="C61" s="894" t="n"/>
      <c r="D61" s="894" t="n"/>
      <c r="E61" s="894" t="n"/>
      <c r="F61" s="894" t="n"/>
      <c r="G61" s="894" t="n"/>
      <c r="H61" s="894" t="n"/>
      <c r="I61" s="483" t="n"/>
    </row>
    <row r="62" ht="23" customFormat="1" customHeight="1" s="480">
      <c r="A62" s="507" t="inlineStr">
        <is>
          <t>C. Exigences supplémentaires pour les options</t>
        </is>
      </c>
      <c r="B62" s="465" t="n"/>
      <c r="C62" s="465" t="n"/>
      <c r="D62" s="465" t="n"/>
      <c r="E62" s="465" t="n"/>
      <c r="F62" s="465" t="n"/>
      <c r="G62" s="465" t="n"/>
      <c r="H62" s="465" t="n"/>
      <c r="I62" s="483" t="n"/>
    </row>
    <row r="63" ht="22.5" customFormat="1" customHeight="1" s="469">
      <c r="A63" s="820" t="inlineStr">
        <is>
          <t>Code DISPRU</t>
        </is>
      </c>
      <c r="B63" s="822" t="inlineStr">
        <is>
          <t>Poste</t>
        </is>
      </c>
      <c r="C63" s="826" t="n"/>
      <c r="D63" s="928" t="n"/>
      <c r="E63" s="928" t="n"/>
      <c r="F63" s="928" t="n"/>
      <c r="G63" s="929" t="n"/>
      <c r="H63" s="820" t="inlineStr">
        <is>
          <t>Exigences de fonds propres</t>
        </is>
      </c>
      <c r="I63" s="483" t="n"/>
      <c r="J63" s="454" t="n"/>
    </row>
    <row r="64" ht="42" customFormat="1" customHeight="1" s="469">
      <c r="A64" s="896" t="n"/>
      <c r="B64" s="962" t="n"/>
      <c r="C64" s="956" t="n"/>
      <c r="D64" s="956" t="n"/>
      <c r="E64" s="956" t="n"/>
      <c r="F64" s="956" t="n"/>
      <c r="G64" s="897" t="n"/>
      <c r="H64" s="896" t="n"/>
      <c r="I64" s="483" t="n"/>
      <c r="J64" s="454" t="n"/>
    </row>
    <row r="65" ht="24.75" customHeight="1" s="885">
      <c r="A65" s="470" t="inlineStr">
        <is>
          <t>RM040</t>
        </is>
      </c>
      <c r="B65" s="508" t="inlineStr">
        <is>
          <t>Approche simplifiée</t>
        </is>
      </c>
      <c r="C65" s="823" t="n"/>
      <c r="D65" s="894" t="n"/>
      <c r="E65" s="894" t="n"/>
      <c r="F65" s="894" t="n"/>
      <c r="G65" s="895" t="n"/>
      <c r="H65" s="472" t="n"/>
      <c r="I65" s="483" t="n"/>
    </row>
    <row r="66" ht="24.75" customHeight="1" s="885">
      <c r="A66" s="470" t="inlineStr">
        <is>
          <t>RM041</t>
        </is>
      </c>
      <c r="B66" s="508" t="inlineStr">
        <is>
          <t>Méthode Delta Plus - Exigences supplémentaires pour risque Gamma</t>
        </is>
      </c>
      <c r="C66" s="823" t="n"/>
      <c r="D66" s="894" t="n"/>
      <c r="E66" s="894" t="n"/>
      <c r="F66" s="894" t="n"/>
      <c r="G66" s="895" t="n"/>
      <c r="H66" s="472" t="n"/>
      <c r="I66" s="483" t="n"/>
    </row>
    <row r="67" ht="24.75" customHeight="1" s="885">
      <c r="A67" s="470" t="inlineStr">
        <is>
          <t>RM042</t>
        </is>
      </c>
      <c r="B67" s="508" t="inlineStr">
        <is>
          <t>Méthode Delta Plus - Exigences supplémentaires pour risque Véga</t>
        </is>
      </c>
      <c r="C67" s="823" t="n"/>
      <c r="D67" s="894" t="n"/>
      <c r="E67" s="894" t="n"/>
      <c r="F67" s="894" t="n"/>
      <c r="G67" s="895" t="n"/>
      <c r="H67" s="472" t="n"/>
      <c r="I67" s="483" t="n"/>
    </row>
    <row r="68" ht="13.5" customHeight="1" s="885">
      <c r="A68" s="824" t="n"/>
      <c r="B68" s="894" t="n"/>
      <c r="C68" s="894" t="n"/>
      <c r="D68" s="894" t="n"/>
      <c r="E68" s="894" t="n"/>
      <c r="F68" s="894" t="n"/>
      <c r="G68" s="894" t="n"/>
      <c r="H68" s="894" t="n"/>
      <c r="I68" s="483" t="n"/>
    </row>
    <row r="69" ht="19.5" customFormat="1" customHeight="1" s="480">
      <c r="A69" s="509" t="inlineStr">
        <is>
          <t>RM043</t>
        </is>
      </c>
      <c r="B69" s="476" t="inlineStr">
        <is>
          <t>Fonds propres pour risques sur options</t>
        </is>
      </c>
      <c r="C69" s="477" t="n"/>
      <c r="D69" s="477" t="n"/>
      <c r="E69" s="477" t="n"/>
      <c r="F69" s="477" t="n"/>
      <c r="G69" s="996" t="n"/>
      <c r="H69" s="472" t="n">
        <v>0</v>
      </c>
      <c r="I69" s="510" t="n"/>
      <c r="J69" s="454" t="n"/>
    </row>
    <row r="70" ht="13.5" customHeight="1" s="885">
      <c r="A70" s="825" t="n"/>
      <c r="B70" s="928" t="n"/>
      <c r="C70" s="928" t="n"/>
      <c r="D70" s="928" t="n"/>
      <c r="E70" s="928" t="n"/>
      <c r="F70" s="928" t="n"/>
      <c r="G70" s="928" t="n"/>
      <c r="H70" s="928" t="n"/>
      <c r="I70" s="928" t="n"/>
    </row>
    <row r="71" ht="23" customFormat="1" customHeight="1" s="480">
      <c r="A71" s="507" t="inlineStr">
        <is>
          <t xml:space="preserve">D. Actifs pondérés au titre du risque de taux d'intérêt </t>
        </is>
      </c>
      <c r="B71" s="465" t="n"/>
      <c r="C71" s="465" t="n"/>
      <c r="D71" s="465" t="n"/>
      <c r="E71" s="511" t="n"/>
      <c r="F71" s="511" t="n"/>
      <c r="G71" s="511" t="n"/>
      <c r="H71" s="511" t="n"/>
      <c r="I71" s="511" t="n"/>
    </row>
    <row r="72" ht="22.5" customFormat="1" customHeight="1" s="469">
      <c r="A72" s="820" t="inlineStr">
        <is>
          <t>Code DISPRU</t>
        </is>
      </c>
      <c r="B72" s="822" t="inlineStr">
        <is>
          <t>Poste</t>
        </is>
      </c>
      <c r="C72" s="820" t="inlineStr">
        <is>
          <t>Exigences de fonds propres</t>
        </is>
      </c>
      <c r="D72" s="820" t="inlineStr">
        <is>
          <t>Actifs pondérés des risques</t>
        </is>
      </c>
      <c r="E72" s="511" t="n"/>
      <c r="F72" s="511" t="n"/>
      <c r="G72" s="511" t="n"/>
      <c r="H72" s="511" t="n"/>
      <c r="I72" s="511" t="n"/>
    </row>
    <row r="73" ht="42" customFormat="1" customHeight="1" s="469">
      <c r="A73" s="896" t="n"/>
      <c r="B73" s="962" t="n"/>
      <c r="C73" s="896" t="n"/>
      <c r="D73" s="896" t="n"/>
      <c r="E73" s="512" t="n"/>
      <c r="F73" s="512" t="n"/>
      <c r="G73" s="512" t="n"/>
      <c r="H73" s="512" t="n"/>
      <c r="I73" s="512" t="n"/>
    </row>
    <row r="74" ht="17.25" customFormat="1" customHeight="1" s="469">
      <c r="A74" s="820" t="n"/>
      <c r="B74" s="895" t="n"/>
      <c r="C74" s="827" t="inlineStr">
        <is>
          <t>(a)</t>
        </is>
      </c>
      <c r="D74" s="827" t="inlineStr">
        <is>
          <t>(b)=ax12,5</t>
        </is>
      </c>
      <c r="E74" s="512" t="n"/>
      <c r="F74" s="512" t="n"/>
      <c r="G74" s="512" t="n"/>
      <c r="H74" s="512" t="n"/>
      <c r="I74" s="512" t="n"/>
    </row>
    <row r="75" ht="23" customFormat="1" customHeight="1" s="480">
      <c r="A75" s="509" t="inlineStr">
        <is>
          <t>RM044</t>
        </is>
      </c>
      <c r="B75" s="513" t="inlineStr">
        <is>
          <t>TOTAL</t>
        </is>
      </c>
      <c r="C75" s="472" t="n"/>
      <c r="D75" s="472" t="n"/>
      <c r="E75" s="514" t="n"/>
      <c r="F75" s="512" t="n"/>
      <c r="G75" s="512" t="n"/>
      <c r="H75" s="512" t="n"/>
      <c r="I75" s="512" t="n"/>
    </row>
    <row r="76" ht="13.5" customHeight="1" s="885">
      <c r="A76" s="817" t="n"/>
      <c r="B76" s="928" t="n"/>
      <c r="C76" s="928" t="n"/>
      <c r="D76" s="928" t="n"/>
      <c r="E76" s="928" t="n"/>
      <c r="F76" s="928" t="n"/>
      <c r="G76" s="928" t="n"/>
      <c r="H76" s="928" t="n"/>
      <c r="I76" s="928" t="n"/>
    </row>
    <row r="77" ht="13.5" customHeight="1" s="885">
      <c r="A77" s="515" t="n"/>
      <c r="B77" s="515" t="n"/>
      <c r="C77" s="515" t="n"/>
      <c r="D77" s="515" t="n"/>
      <c r="E77" s="515" t="n"/>
      <c r="F77" s="515" t="n"/>
      <c r="G77" s="515" t="n"/>
      <c r="H77" s="515" t="n"/>
      <c r="I77" s="515" t="n"/>
    </row>
    <row r="78" ht="23" customHeight="1" s="885">
      <c r="A78" s="818" t="inlineStr">
        <is>
          <t>Poste mémoire - Titres de propriété du portefeuille de négociation</t>
        </is>
      </c>
      <c r="B78" s="886" t="n"/>
      <c r="C78" s="886" t="n"/>
      <c r="D78" s="886" t="n"/>
      <c r="E78" s="886" t="n"/>
      <c r="F78" s="886" t="n"/>
      <c r="G78" s="886" t="n"/>
      <c r="H78" s="886" t="n"/>
      <c r="I78" s="886" t="n"/>
    </row>
    <row r="79" ht="13.5" customHeight="1" s="885">
      <c r="A79" s="819" t="n"/>
      <c r="B79" s="886" t="n"/>
      <c r="C79" s="886" t="n"/>
      <c r="D79" s="886" t="n"/>
      <c r="E79" s="886" t="n"/>
      <c r="F79" s="886" t="n"/>
      <c r="G79" s="886" t="n"/>
      <c r="H79" s="886" t="n"/>
      <c r="I79" s="886" t="n"/>
    </row>
    <row r="80" ht="22.5" customHeight="1" s="885">
      <c r="A80" s="820" t="inlineStr">
        <is>
          <t>Code DISPRU</t>
        </is>
      </c>
      <c r="B80" s="821" t="inlineStr">
        <is>
          <t>Poste</t>
        </is>
      </c>
      <c r="C80" s="820" t="inlineStr">
        <is>
          <t>Toutes les positions</t>
        </is>
      </c>
      <c r="D80" s="895" t="n"/>
      <c r="E80" s="511" t="n"/>
      <c r="F80" s="511" t="n"/>
      <c r="G80" s="511" t="n"/>
      <c r="H80" s="511" t="n"/>
      <c r="I80" s="511" t="n"/>
    </row>
    <row r="81" ht="23" customHeight="1" s="885">
      <c r="A81" s="896" t="n"/>
      <c r="B81" s="896" t="n"/>
      <c r="C81" s="820" t="inlineStr">
        <is>
          <t>Longues</t>
        </is>
      </c>
      <c r="D81" s="820" t="inlineStr">
        <is>
          <t>Courtes</t>
        </is>
      </c>
      <c r="E81" s="511" t="n"/>
      <c r="F81" s="511" t="n"/>
      <c r="G81" s="511" t="n"/>
      <c r="H81" s="511" t="n"/>
      <c r="I81" s="511" t="n"/>
    </row>
    <row r="82" ht="25.5" customHeight="1" s="885">
      <c r="A82" s="470" t="inlineStr">
        <is>
          <t>RM045</t>
        </is>
      </c>
      <c r="B82" s="470" t="inlineStr">
        <is>
          <t xml:space="preserve"> Instruments dérivés</t>
        </is>
      </c>
      <c r="C82" s="472" t="n"/>
      <c r="D82" s="472" t="n"/>
      <c r="E82" s="512" t="n"/>
      <c r="F82" s="512" t="n"/>
      <c r="G82" s="512" t="n"/>
      <c r="H82" s="512" t="n"/>
      <c r="I82" s="512" t="n"/>
    </row>
    <row r="83" ht="25.5" customHeight="1" s="885">
      <c r="A83" s="470" t="inlineStr">
        <is>
          <t>RM046</t>
        </is>
      </c>
      <c r="B83" s="470" t="inlineStr">
        <is>
          <t xml:space="preserve">Autres éléments d'actif et de passif </t>
        </is>
      </c>
      <c r="C83" s="472" t="n"/>
      <c r="D83" s="472" t="n"/>
      <c r="E83" s="512" t="n"/>
      <c r="F83" s="512" t="n"/>
      <c r="G83" s="512" t="n"/>
      <c r="H83" s="512" t="n"/>
      <c r="I83" s="512" t="n"/>
    </row>
    <row r="84">
      <c r="B84" s="516" t="n"/>
      <c r="C84" s="516" t="n"/>
    </row>
    <row r="85" ht="25" customHeight="1" s="885">
      <c r="B85" s="517" t="n"/>
      <c r="C85" s="454" t="n"/>
    </row>
    <row r="86">
      <c r="B86" s="454" t="n"/>
      <c r="C86" s="454" t="n"/>
    </row>
    <row r="87">
      <c r="B87" s="454" t="n"/>
      <c r="C87" s="454" t="n"/>
    </row>
    <row r="88">
      <c r="B88" s="454" t="n"/>
      <c r="C88" s="454" t="n"/>
    </row>
    <row r="89">
      <c r="B89" s="454" t="n"/>
      <c r="C89" s="454" t="n"/>
    </row>
    <row r="90">
      <c r="B90" s="454" t="n"/>
      <c r="C90" s="454" t="n"/>
    </row>
    <row r="91">
      <c r="B91" s="454" t="n"/>
      <c r="C91" s="454" t="n"/>
    </row>
    <row r="92">
      <c r="B92" s="454" t="n"/>
      <c r="C92" s="454" t="n"/>
    </row>
    <row r="93">
      <c r="B93" s="454" t="n"/>
      <c r="C93" s="454" t="n"/>
    </row>
    <row r="94">
      <c r="B94" s="454" t="n"/>
      <c r="C94" s="454" t="n"/>
    </row>
    <row r="95">
      <c r="B95" s="454" t="n"/>
      <c r="C95" s="454" t="n"/>
    </row>
    <row r="96">
      <c r="B96" s="454" t="n"/>
      <c r="C96" s="454" t="n"/>
    </row>
    <row r="97" customFormat="1" s="454">
      <c r="A97" s="191" t="n"/>
    </row>
    <row r="98" customFormat="1" s="454">
      <c r="A98" s="191" t="n"/>
    </row>
    <row r="99" customFormat="1" s="454">
      <c r="A99" s="191" t="n"/>
    </row>
    <row r="100" customFormat="1" s="454">
      <c r="A100" s="191" t="n"/>
    </row>
    <row r="101" customFormat="1" s="454">
      <c r="A101" s="191" t="n"/>
    </row>
    <row r="102" customFormat="1" s="454">
      <c r="A102" s="191" t="n"/>
    </row>
    <row r="103" customFormat="1" s="454">
      <c r="A103" s="191" t="n"/>
    </row>
    <row r="104" customFormat="1" s="454">
      <c r="A104" s="191" t="n"/>
    </row>
    <row r="105" customFormat="1" s="454">
      <c r="A105" s="191" t="n"/>
    </row>
    <row r="106" customFormat="1" s="454">
      <c r="A106" s="191" t="n"/>
    </row>
    <row r="107" customFormat="1" s="454">
      <c r="A107" s="191" t="n"/>
    </row>
    <row r="108" customFormat="1" s="454">
      <c r="A108" s="191" t="n"/>
    </row>
    <row r="109" customFormat="1" s="454">
      <c r="A109" s="191" t="n"/>
    </row>
    <row r="110" customFormat="1" s="454">
      <c r="A110" s="191" t="n"/>
    </row>
    <row r="111" customFormat="1" s="454">
      <c r="A111" s="191" t="n"/>
    </row>
    <row r="112" customFormat="1" s="454">
      <c r="A112" s="191" t="n"/>
    </row>
    <row r="113" customFormat="1" s="454">
      <c r="A113" s="191" t="n"/>
    </row>
    <row r="114" customFormat="1" s="454">
      <c r="A114" s="191" t="n"/>
    </row>
    <row r="115" customFormat="1" s="454">
      <c r="A115" s="191" t="n"/>
    </row>
    <row r="116" customFormat="1" s="454">
      <c r="A116" s="191" t="n"/>
    </row>
    <row r="117" customFormat="1" s="454">
      <c r="A117" s="191" t="n"/>
    </row>
    <row r="118" customFormat="1" s="454">
      <c r="A118" s="191" t="n"/>
    </row>
    <row r="119" customFormat="1" s="454">
      <c r="A119" s="191" t="n"/>
    </row>
    <row r="120" customFormat="1" s="454">
      <c r="A120" s="191" t="n"/>
    </row>
    <row r="121" customFormat="1" s="454">
      <c r="A121" s="191" t="n"/>
    </row>
    <row r="122" customFormat="1" s="454">
      <c r="A122" s="191" t="n"/>
    </row>
    <row r="123" customFormat="1" s="454">
      <c r="A123" s="191" t="n"/>
    </row>
    <row r="124" customFormat="1" s="454">
      <c r="A124" s="191" t="n"/>
    </row>
    <row r="125" customFormat="1" s="454">
      <c r="A125" s="191" t="n"/>
    </row>
    <row r="126" customFormat="1" s="454">
      <c r="A126" s="191" t="n"/>
    </row>
    <row r="127" customFormat="1" s="454">
      <c r="A127" s="191" t="n"/>
    </row>
    <row r="128" customFormat="1" s="454">
      <c r="A128" s="191" t="n"/>
    </row>
    <row r="129" customFormat="1" s="454">
      <c r="A129" s="191" t="n"/>
    </row>
    <row r="130" customFormat="1" s="454">
      <c r="A130" s="191" t="n"/>
    </row>
    <row r="131" customFormat="1" s="454">
      <c r="A131" s="191" t="n"/>
    </row>
    <row r="132" customFormat="1" s="454">
      <c r="A132" s="191" t="n"/>
    </row>
    <row r="133" customFormat="1" s="454">
      <c r="A133" s="191" t="n"/>
    </row>
    <row r="134" customFormat="1" s="454">
      <c r="A134" s="191" t="n"/>
    </row>
    <row r="135" customFormat="1" s="454">
      <c r="A135" s="191" t="n"/>
    </row>
    <row r="136" customFormat="1" s="454">
      <c r="A136" s="191" t="n"/>
    </row>
    <row r="137" customFormat="1" s="454">
      <c r="A137" s="191" t="n"/>
    </row>
    <row r="138" customFormat="1" s="454">
      <c r="A138" s="191" t="n"/>
    </row>
    <row r="139" customFormat="1" s="454">
      <c r="A139" s="191" t="n"/>
    </row>
    <row r="140" customFormat="1" s="454">
      <c r="A140" s="191" t="n"/>
    </row>
    <row r="141" customFormat="1" s="454">
      <c r="A141" s="191" t="n"/>
    </row>
    <row r="142" customFormat="1" s="454">
      <c r="A142" s="191" t="n"/>
    </row>
    <row r="143" customFormat="1" s="454">
      <c r="A143" s="191" t="n"/>
    </row>
    <row r="144" customFormat="1" s="454">
      <c r="A144" s="191" t="n"/>
    </row>
    <row r="145" customFormat="1" s="454">
      <c r="A145" s="191" t="n"/>
    </row>
    <row r="146" customFormat="1" s="454">
      <c r="A146" s="191" t="n"/>
    </row>
    <row r="147" customFormat="1" s="454">
      <c r="A147" s="191" t="n"/>
    </row>
    <row r="148" customFormat="1" s="454">
      <c r="A148" s="191" t="n"/>
    </row>
    <row r="149" customFormat="1" s="454">
      <c r="A149" s="191" t="n"/>
    </row>
    <row r="150" customFormat="1" s="454">
      <c r="A150" s="191" t="n"/>
    </row>
    <row r="151" customFormat="1" s="454">
      <c r="A151" s="191" t="n"/>
    </row>
    <row r="152" customFormat="1" s="454">
      <c r="A152" s="191" t="n"/>
    </row>
    <row r="153" customFormat="1" s="454">
      <c r="A153" s="191" t="n"/>
    </row>
    <row r="154" customFormat="1" s="454">
      <c r="A154" s="191" t="n"/>
    </row>
    <row r="155" customFormat="1" s="454">
      <c r="A155" s="191" t="n"/>
    </row>
    <row r="156" customFormat="1" s="454">
      <c r="A156" s="191" t="n"/>
    </row>
    <row r="157" customFormat="1" s="454">
      <c r="A157" s="191" t="n"/>
    </row>
    <row r="158" customFormat="1" s="454">
      <c r="A158" s="191" t="n"/>
    </row>
    <row r="159" customFormat="1" s="454">
      <c r="A159" s="191" t="n"/>
    </row>
    <row r="160" customFormat="1" s="454">
      <c r="A160" s="191" t="n"/>
    </row>
    <row r="161" customFormat="1" s="454">
      <c r="A161" s="191" t="n"/>
    </row>
    <row r="162" customFormat="1" s="454">
      <c r="A162" s="191" t="n"/>
    </row>
    <row r="163" customFormat="1" s="454">
      <c r="A163" s="191" t="n"/>
    </row>
    <row r="164" customFormat="1" s="454">
      <c r="A164" s="191" t="n"/>
    </row>
    <row r="165" customFormat="1" s="454">
      <c r="A165" s="191" t="n"/>
    </row>
    <row r="166" customFormat="1" s="454">
      <c r="A166" s="191" t="n"/>
    </row>
    <row r="167" customFormat="1" s="454">
      <c r="A167" s="191" t="n"/>
    </row>
    <row r="168" customFormat="1" s="454">
      <c r="A168" s="191" t="n"/>
    </row>
    <row r="169" customFormat="1" s="454">
      <c r="A169" s="191" t="n"/>
    </row>
    <row r="170" customFormat="1" s="454">
      <c r="A170" s="191" t="n"/>
    </row>
    <row r="171" customFormat="1" s="454">
      <c r="A171" s="191" t="n"/>
    </row>
    <row r="172" customFormat="1" s="454">
      <c r="A172" s="191" t="n"/>
    </row>
    <row r="173" customFormat="1" s="454">
      <c r="A173" s="191" t="n"/>
    </row>
    <row r="174" customFormat="1" s="454">
      <c r="A174" s="191" t="n"/>
    </row>
    <row r="175" customFormat="1" s="454">
      <c r="A175" s="191" t="n"/>
    </row>
    <row r="176" customFormat="1" s="454">
      <c r="A176" s="191" t="n"/>
    </row>
    <row r="177" customFormat="1" s="454">
      <c r="A177" s="191" t="n"/>
    </row>
    <row r="178" customFormat="1" s="454">
      <c r="A178" s="191" t="n"/>
    </row>
    <row r="179" customFormat="1" s="454">
      <c r="A179" s="191" t="n"/>
    </row>
    <row r="180" customFormat="1" s="454">
      <c r="A180" s="191" t="n"/>
    </row>
    <row r="181" customFormat="1" s="454">
      <c r="A181" s="191" t="n"/>
    </row>
    <row r="182" customFormat="1" s="454">
      <c r="A182" s="191" t="n"/>
    </row>
    <row r="183" customFormat="1" s="454">
      <c r="A183" s="191" t="n"/>
    </row>
    <row r="184" customFormat="1" s="454">
      <c r="A184" s="191" t="n"/>
    </row>
    <row r="185" customFormat="1" s="454">
      <c r="A185" s="191" t="n"/>
    </row>
    <row r="186" customFormat="1" s="454">
      <c r="A186" s="191" t="n"/>
    </row>
    <row r="187" customFormat="1" s="454">
      <c r="A187" s="191" t="n"/>
    </row>
    <row r="188" customFormat="1" s="454">
      <c r="A188" s="191" t="n"/>
    </row>
    <row r="189" customFormat="1" s="454">
      <c r="A189" s="191" t="n"/>
    </row>
    <row r="190" customFormat="1" s="454">
      <c r="A190" s="191" t="n"/>
    </row>
    <row r="191" customFormat="1" s="454">
      <c r="A191" s="191" t="n"/>
    </row>
    <row r="192" customFormat="1" s="454">
      <c r="A192" s="191" t="n"/>
    </row>
    <row r="193" customFormat="1" s="454">
      <c r="A193" s="191" t="n"/>
    </row>
    <row r="194" customFormat="1" s="454">
      <c r="A194" s="191" t="n"/>
    </row>
    <row r="195" customFormat="1" s="454">
      <c r="A195" s="191" t="n"/>
    </row>
    <row r="196" customFormat="1" s="454">
      <c r="A196" s="191" t="n"/>
    </row>
    <row r="197" customFormat="1" s="454">
      <c r="A197" s="191" t="n"/>
    </row>
    <row r="198" customFormat="1" s="454">
      <c r="A198" s="191" t="n"/>
    </row>
    <row r="199" customFormat="1" s="454">
      <c r="A199" s="191" t="n"/>
    </row>
    <row r="200" customFormat="1" s="454">
      <c r="A200" s="191" t="n"/>
    </row>
    <row r="201" customFormat="1" s="454">
      <c r="A201" s="191" t="n"/>
    </row>
    <row r="202" customFormat="1" s="454">
      <c r="A202" s="191" t="n"/>
    </row>
    <row r="203" customFormat="1" s="454">
      <c r="A203" s="191" t="n"/>
    </row>
    <row r="204" customFormat="1" s="454">
      <c r="A204" s="191" t="n"/>
    </row>
    <row r="205" customFormat="1" s="454">
      <c r="A205" s="191" t="n"/>
    </row>
    <row r="206" customFormat="1" s="454">
      <c r="A206" s="191" t="n"/>
    </row>
    <row r="207" customFormat="1" s="454">
      <c r="A207" s="191" t="n"/>
    </row>
    <row r="208" customFormat="1" s="454">
      <c r="A208" s="191" t="n"/>
    </row>
    <row r="209" customFormat="1" s="454">
      <c r="A209" s="191" t="n"/>
    </row>
    <row r="210" customFormat="1" s="454">
      <c r="A210" s="191" t="n"/>
    </row>
    <row r="211" customFormat="1" s="454">
      <c r="A211" s="191" t="n"/>
    </row>
    <row r="212" customFormat="1" s="454">
      <c r="A212" s="191" t="n"/>
    </row>
    <row r="213" customFormat="1" s="454">
      <c r="A213" s="191" t="n"/>
    </row>
    <row r="214" customFormat="1" s="454">
      <c r="A214" s="191" t="n"/>
    </row>
    <row r="215" customFormat="1" s="454">
      <c r="A215" s="191" t="n"/>
    </row>
    <row r="216" customFormat="1" s="454">
      <c r="A216" s="191" t="n"/>
    </row>
    <row r="217" customFormat="1" s="454">
      <c r="A217" s="191" t="n"/>
    </row>
    <row r="218" customFormat="1" s="454">
      <c r="A218" s="191" t="n"/>
    </row>
    <row r="219" customFormat="1" s="454">
      <c r="A219" s="191" t="n"/>
    </row>
    <row r="220" customFormat="1" s="454">
      <c r="A220" s="191" t="n"/>
    </row>
    <row r="221" customFormat="1" s="454">
      <c r="A221" s="191" t="n"/>
    </row>
    <row r="222" customFormat="1" s="454">
      <c r="A222" s="191" t="n"/>
    </row>
    <row r="223" customFormat="1" s="454">
      <c r="A223" s="191" t="n"/>
    </row>
    <row r="224" customFormat="1" s="454">
      <c r="A224" s="191" t="n"/>
    </row>
    <row r="225" customFormat="1" s="454">
      <c r="A225" s="191" t="n"/>
    </row>
    <row r="226" customFormat="1" s="454">
      <c r="A226" s="191" t="n"/>
    </row>
    <row r="227" customFormat="1" s="454">
      <c r="A227" s="191" t="n"/>
    </row>
    <row r="228" customFormat="1" s="454">
      <c r="A228" s="191" t="n"/>
    </row>
    <row r="229" customFormat="1" s="454">
      <c r="A229" s="191" t="n"/>
    </row>
    <row r="230" customFormat="1" s="454">
      <c r="A230" s="191" t="n"/>
    </row>
    <row r="231" customFormat="1" s="454">
      <c r="A231" s="191" t="n"/>
    </row>
    <row r="232" customFormat="1" s="454">
      <c r="A232" s="191" t="n"/>
    </row>
    <row r="233" customFormat="1" s="454">
      <c r="A233" s="191" t="n"/>
    </row>
    <row r="234" customFormat="1" s="454">
      <c r="A234" s="191" t="n"/>
    </row>
    <row r="235" customFormat="1" s="454">
      <c r="A235" s="191" t="n"/>
    </row>
    <row r="236" customFormat="1" s="454">
      <c r="A236" s="191" t="n"/>
    </row>
    <row r="237" customFormat="1" s="454">
      <c r="A237" s="191" t="n"/>
    </row>
    <row r="238" customFormat="1" s="454">
      <c r="A238" s="191" t="n"/>
    </row>
    <row r="239" customFormat="1" s="454">
      <c r="A239" s="191" t="n"/>
    </row>
    <row r="240" customFormat="1" s="454">
      <c r="A240" s="191" t="n"/>
    </row>
    <row r="241" customFormat="1" s="454">
      <c r="A241" s="191" t="n"/>
    </row>
    <row r="242" customFormat="1" s="454">
      <c r="A242" s="191" t="n"/>
    </row>
    <row r="243" customFormat="1" s="454">
      <c r="A243" s="191" t="n"/>
    </row>
    <row r="244" customFormat="1" s="454">
      <c r="A244" s="191" t="n"/>
    </row>
    <row r="245" customFormat="1" s="454">
      <c r="A245" s="191" t="n"/>
    </row>
    <row r="246" customFormat="1" s="454">
      <c r="A246" s="191" t="n"/>
    </row>
    <row r="247" customFormat="1" s="454">
      <c r="A247" s="191" t="n"/>
    </row>
    <row r="248" customFormat="1" s="454">
      <c r="A248" s="191" t="n"/>
    </row>
    <row r="249" customFormat="1" s="454">
      <c r="A249" s="191" t="n"/>
    </row>
    <row r="250" customFormat="1" s="454">
      <c r="A250" s="191" t="n"/>
    </row>
    <row r="251" customFormat="1" s="454">
      <c r="A251" s="191" t="n"/>
    </row>
    <row r="252" customFormat="1" s="454">
      <c r="A252" s="191" t="n"/>
    </row>
    <row r="253" customFormat="1" s="454">
      <c r="A253" s="191" t="n"/>
    </row>
    <row r="254" customFormat="1" s="454">
      <c r="A254" s="191" t="n"/>
    </row>
    <row r="255" customFormat="1" s="454">
      <c r="A255" s="191" t="n"/>
    </row>
    <row r="256" customFormat="1" s="454">
      <c r="A256" s="191" t="n"/>
    </row>
    <row r="257" customFormat="1" s="454">
      <c r="A257" s="191" t="n"/>
    </row>
    <row r="258" customFormat="1" s="454">
      <c r="A258" s="191" t="n"/>
    </row>
    <row r="259" customFormat="1" s="454">
      <c r="A259" s="191" t="n"/>
    </row>
    <row r="260" customFormat="1" s="454">
      <c r="A260" s="191" t="n"/>
    </row>
    <row r="261" customFormat="1" s="454">
      <c r="A261" s="191" t="n"/>
    </row>
    <row r="262" customFormat="1" s="454">
      <c r="A262" s="191" t="n"/>
    </row>
    <row r="263" customFormat="1" s="454">
      <c r="A263" s="191" t="n"/>
    </row>
    <row r="264" customFormat="1" s="454">
      <c r="A264" s="191" t="n"/>
    </row>
    <row r="265" customFormat="1" s="454">
      <c r="A265" s="191" t="n"/>
    </row>
    <row r="266" customFormat="1" s="454">
      <c r="A266" s="191" t="n"/>
    </row>
    <row r="267" customFormat="1" s="454">
      <c r="A267" s="191" t="n"/>
    </row>
    <row r="268" customFormat="1" s="454">
      <c r="A268" s="191" t="n"/>
    </row>
    <row r="269" customFormat="1" s="454">
      <c r="A269" s="191" t="n"/>
    </row>
    <row r="270" customFormat="1" s="454">
      <c r="A270" s="191" t="n"/>
    </row>
    <row r="271" customFormat="1" s="454">
      <c r="A271" s="191" t="n"/>
    </row>
    <row r="272" customFormat="1" s="454">
      <c r="A272" s="191" t="n"/>
    </row>
    <row r="273" customFormat="1" s="454">
      <c r="A273" s="191" t="n"/>
    </row>
    <row r="274" customFormat="1" s="454">
      <c r="A274" s="191" t="n"/>
    </row>
    <row r="275" customFormat="1" s="454">
      <c r="A275" s="191" t="n"/>
    </row>
    <row r="276" customFormat="1" s="454">
      <c r="A276" s="191" t="n"/>
    </row>
    <row r="277" customFormat="1" s="454">
      <c r="A277" s="191" t="n"/>
    </row>
    <row r="278" customFormat="1" s="454">
      <c r="A278" s="191" t="n"/>
    </row>
    <row r="279" customFormat="1" s="454">
      <c r="A279" s="191" t="n"/>
    </row>
    <row r="280" customFormat="1" s="454">
      <c r="A280" s="191" t="n"/>
    </row>
    <row r="281" customFormat="1" s="454">
      <c r="A281" s="191" t="n"/>
    </row>
    <row r="282" customFormat="1" s="454">
      <c r="A282" s="191" t="n"/>
    </row>
    <row r="283" customFormat="1" s="454">
      <c r="A283" s="191" t="n"/>
    </row>
    <row r="284" customFormat="1" s="454">
      <c r="A284" s="191" t="n"/>
    </row>
    <row r="285" customFormat="1" s="454">
      <c r="A285" s="191" t="n"/>
    </row>
    <row r="286" customFormat="1" s="454">
      <c r="A286" s="191" t="n"/>
    </row>
    <row r="287" customFormat="1" s="454">
      <c r="A287" s="191" t="n"/>
    </row>
    <row r="288" customFormat="1" s="454">
      <c r="A288" s="191" t="n"/>
    </row>
    <row r="289" customFormat="1" s="454">
      <c r="A289" s="191" t="n"/>
    </row>
    <row r="290" customFormat="1" s="454">
      <c r="A290" s="191" t="n"/>
    </row>
    <row r="291" customFormat="1" s="454">
      <c r="A291" s="191" t="n"/>
    </row>
    <row r="292" customFormat="1" s="454">
      <c r="A292" s="191" t="n"/>
    </row>
    <row r="293" customFormat="1" s="454">
      <c r="A293" s="191" t="n"/>
    </row>
    <row r="294" customFormat="1" s="454">
      <c r="A294" s="191" t="n"/>
    </row>
    <row r="295" customFormat="1" s="454">
      <c r="A295" s="191" t="n"/>
    </row>
    <row r="296" customFormat="1" s="454">
      <c r="A296" s="191" t="n"/>
    </row>
    <row r="297" customFormat="1" s="454">
      <c r="A297" s="191" t="n"/>
    </row>
    <row r="298" customFormat="1" s="454">
      <c r="A298" s="191" t="n"/>
    </row>
    <row r="299" customFormat="1" s="454">
      <c r="A299" s="191" t="n"/>
    </row>
    <row r="300" customFormat="1" s="454">
      <c r="A300" s="191" t="n"/>
    </row>
    <row r="301" customFormat="1" s="454">
      <c r="A301" s="191" t="n"/>
    </row>
    <row r="302" customFormat="1" s="454">
      <c r="A302" s="191" t="n"/>
    </row>
    <row r="303" customFormat="1" s="454">
      <c r="A303" s="191" t="n"/>
    </row>
    <row r="304" customFormat="1" s="454">
      <c r="A304" s="191" t="n"/>
    </row>
    <row r="305" customFormat="1" s="454">
      <c r="A305" s="191" t="n"/>
    </row>
    <row r="306" customFormat="1" s="454">
      <c r="A306" s="191" t="n"/>
    </row>
    <row r="307" customFormat="1" s="454">
      <c r="A307" s="191" t="n"/>
    </row>
    <row r="308" customFormat="1" s="454">
      <c r="A308" s="191" t="n"/>
    </row>
    <row r="309" customFormat="1" s="454">
      <c r="A309" s="191" t="n"/>
    </row>
    <row r="310" customFormat="1" s="454">
      <c r="A310" s="191" t="n"/>
    </row>
    <row r="311" customFormat="1" s="454">
      <c r="A311" s="191" t="n"/>
    </row>
    <row r="312" customFormat="1" s="454">
      <c r="A312" s="191" t="n"/>
    </row>
    <row r="313" customFormat="1" s="454">
      <c r="A313" s="191" t="n"/>
    </row>
    <row r="314" customFormat="1" s="454">
      <c r="A314" s="191" t="n"/>
    </row>
    <row r="315" customFormat="1" s="454">
      <c r="A315" s="191" t="n"/>
    </row>
    <row r="316" customFormat="1" s="454">
      <c r="A316" s="191" t="n"/>
    </row>
    <row r="317" customFormat="1" s="454">
      <c r="A317" s="191" t="n"/>
    </row>
    <row r="318" customFormat="1" s="454">
      <c r="A318" s="191" t="n"/>
    </row>
    <row r="319" customFormat="1" s="454">
      <c r="A319" s="191" t="n"/>
    </row>
    <row r="320" customFormat="1" s="454">
      <c r="A320" s="191" t="n"/>
    </row>
    <row r="321" customFormat="1" s="454">
      <c r="A321" s="191" t="n"/>
    </row>
    <row r="322" customFormat="1" s="454">
      <c r="A322" s="191" t="n"/>
    </row>
    <row r="323" customFormat="1" s="454">
      <c r="A323" s="191" t="n"/>
    </row>
    <row r="324" customFormat="1" s="454">
      <c r="A324" s="191" t="n"/>
    </row>
    <row r="325" customFormat="1" s="454">
      <c r="A325" s="191" t="n"/>
    </row>
    <row r="326" customFormat="1" s="454">
      <c r="A326" s="191" t="n"/>
    </row>
    <row r="327" customFormat="1" s="454">
      <c r="A327" s="191" t="n"/>
    </row>
    <row r="328" customFormat="1" s="454">
      <c r="A328" s="191" t="n"/>
    </row>
    <row r="329" customFormat="1" s="454">
      <c r="A329" s="191" t="n"/>
    </row>
    <row r="330" customFormat="1" s="454">
      <c r="A330" s="191" t="n"/>
    </row>
    <row r="331" customFormat="1" s="454">
      <c r="A331" s="191" t="n"/>
    </row>
    <row r="332" customFormat="1" s="454">
      <c r="A332" s="191" t="n"/>
    </row>
    <row r="333" customFormat="1" s="454">
      <c r="A333" s="191" t="n"/>
    </row>
    <row r="334" customFormat="1" s="454">
      <c r="A334" s="191" t="n"/>
    </row>
    <row r="335" customFormat="1" s="454">
      <c r="A335" s="191" t="n"/>
    </row>
    <row r="336" customFormat="1" s="454">
      <c r="A336" s="191" t="n"/>
    </row>
    <row r="337" customFormat="1" s="454">
      <c r="A337" s="191" t="n"/>
    </row>
    <row r="338" customFormat="1" s="454">
      <c r="A338" s="191" t="n"/>
    </row>
    <row r="339" customFormat="1" s="454">
      <c r="A339" s="191" t="n"/>
    </row>
    <row r="340" customFormat="1" s="454">
      <c r="A340" s="191" t="n"/>
    </row>
    <row r="341" customFormat="1" s="454">
      <c r="A341" s="191" t="n"/>
    </row>
    <row r="342" customFormat="1" s="454">
      <c r="A342" s="191" t="n"/>
    </row>
    <row r="343" customFormat="1" s="454">
      <c r="A343" s="191" t="n"/>
    </row>
    <row r="344" customFormat="1" s="454">
      <c r="A344" s="191" t="n"/>
    </row>
    <row r="345" customFormat="1" s="454">
      <c r="A345" s="191" t="n"/>
    </row>
    <row r="346" customFormat="1" s="454">
      <c r="A346" s="191" t="n"/>
    </row>
    <row r="347" customFormat="1" s="454">
      <c r="A347" s="191" t="n"/>
    </row>
    <row r="348" customFormat="1" s="454">
      <c r="A348" s="191" t="n"/>
    </row>
    <row r="349" customFormat="1" s="454">
      <c r="A349" s="191" t="n"/>
    </row>
    <row r="350" customFormat="1" s="454">
      <c r="A350" s="191" t="n"/>
    </row>
    <row r="351" customFormat="1" s="454">
      <c r="A351" s="191" t="n"/>
    </row>
    <row r="352" customFormat="1" s="454">
      <c r="A352" s="191" t="n"/>
    </row>
    <row r="353" customFormat="1" s="454">
      <c r="A353" s="191" t="n"/>
    </row>
    <row r="354" customFormat="1" s="454">
      <c r="A354" s="191" t="n"/>
    </row>
    <row r="355" customFormat="1" s="454">
      <c r="A355" s="191" t="n"/>
    </row>
    <row r="356" customFormat="1" s="454">
      <c r="A356" s="191" t="n"/>
    </row>
    <row r="357" customFormat="1" s="454">
      <c r="A357" s="191" t="n"/>
    </row>
    <row r="358" customFormat="1" s="454">
      <c r="A358" s="191" t="n"/>
    </row>
    <row r="359" customFormat="1" s="454">
      <c r="A359" s="191" t="n"/>
    </row>
    <row r="360" customFormat="1" s="454">
      <c r="A360" s="191" t="n"/>
    </row>
    <row r="361" customFormat="1" s="454">
      <c r="A361" s="191" t="n"/>
    </row>
    <row r="362" customFormat="1" s="454">
      <c r="A362" s="191" t="n"/>
    </row>
    <row r="363" customFormat="1" s="454">
      <c r="A363" s="191" t="n"/>
    </row>
    <row r="364" customFormat="1" s="454">
      <c r="A364" s="191" t="n"/>
    </row>
    <row r="365" customFormat="1" s="454">
      <c r="A365" s="191" t="n"/>
    </row>
    <row r="366" customFormat="1" s="454">
      <c r="A366" s="191" t="n"/>
    </row>
    <row r="367" customFormat="1" s="454">
      <c r="A367" s="191" t="n"/>
    </row>
    <row r="368" customFormat="1" s="454">
      <c r="A368" s="191" t="n"/>
    </row>
    <row r="369" customFormat="1" s="454">
      <c r="A369" s="191" t="n"/>
    </row>
    <row r="370" customFormat="1" s="454">
      <c r="A370" s="191" t="n"/>
    </row>
    <row r="371" customFormat="1" s="454">
      <c r="A371" s="191" t="n"/>
    </row>
    <row r="372" customFormat="1" s="454">
      <c r="A372" s="191" t="n"/>
    </row>
    <row r="373" customFormat="1" s="454">
      <c r="A373" s="191" t="n"/>
    </row>
    <row r="374" customFormat="1" s="454">
      <c r="A374" s="191" t="n"/>
    </row>
    <row r="375" customFormat="1" s="454">
      <c r="A375" s="191" t="n"/>
    </row>
    <row r="376" customFormat="1" s="454">
      <c r="A376" s="191" t="n"/>
    </row>
    <row r="377" customFormat="1" s="454">
      <c r="A377" s="191" t="n"/>
    </row>
    <row r="378" customFormat="1" s="454">
      <c r="A378" s="191" t="n"/>
    </row>
    <row r="379" customFormat="1" s="454">
      <c r="A379" s="191" t="n"/>
    </row>
    <row r="380" customFormat="1" s="454">
      <c r="A380" s="191" t="n"/>
    </row>
    <row r="381" customFormat="1" s="454">
      <c r="A381" s="191" t="n"/>
    </row>
    <row r="382" customFormat="1" s="454">
      <c r="A382" s="191" t="n"/>
    </row>
    <row r="383" customFormat="1" s="454">
      <c r="A383" s="191" t="n"/>
    </row>
    <row r="384" customFormat="1" s="454">
      <c r="A384" s="191" t="n"/>
    </row>
    <row r="385" customFormat="1" s="454">
      <c r="A385" s="191" t="n"/>
    </row>
    <row r="386" customFormat="1" s="454">
      <c r="A386" s="191" t="n"/>
    </row>
    <row r="387" customFormat="1" s="454">
      <c r="A387" s="191" t="n"/>
    </row>
    <row r="388" customFormat="1" s="454">
      <c r="A388" s="191" t="n"/>
    </row>
    <row r="389" customFormat="1" s="454">
      <c r="A389" s="191" t="n"/>
    </row>
    <row r="390" customFormat="1" s="454">
      <c r="A390" s="191" t="n"/>
    </row>
    <row r="391" customFormat="1" s="454">
      <c r="A391" s="191" t="n"/>
    </row>
    <row r="392" customFormat="1" s="454">
      <c r="A392" s="191" t="n"/>
    </row>
    <row r="393" customFormat="1" s="454">
      <c r="A393" s="191" t="n"/>
    </row>
    <row r="394" customFormat="1" s="454">
      <c r="A394" s="191" t="n"/>
    </row>
    <row r="395" customFormat="1" s="454">
      <c r="A395" s="191" t="n"/>
    </row>
    <row r="396" customFormat="1" s="454">
      <c r="A396" s="191" t="n"/>
    </row>
    <row r="397" customFormat="1" s="454">
      <c r="A397" s="191" t="n"/>
    </row>
    <row r="398" customFormat="1" s="454">
      <c r="A398" s="191" t="n"/>
    </row>
    <row r="399" customFormat="1" s="454">
      <c r="A399" s="191" t="n"/>
    </row>
    <row r="400" customFormat="1" s="454">
      <c r="A400" s="191" t="n"/>
    </row>
    <row r="401" customFormat="1" s="454">
      <c r="A401" s="191" t="n"/>
    </row>
    <row r="402" customFormat="1" s="454">
      <c r="A402" s="191" t="n"/>
    </row>
    <row r="403" customFormat="1" s="454">
      <c r="A403" s="191" t="n"/>
    </row>
    <row r="404" customFormat="1" s="454">
      <c r="A404" s="191" t="n"/>
    </row>
    <row r="405" customFormat="1" s="454">
      <c r="A405" s="191" t="n"/>
    </row>
    <row r="406" customFormat="1" s="454">
      <c r="A406" s="191" t="n"/>
    </row>
    <row r="407" customFormat="1" s="454">
      <c r="A407" s="191" t="n"/>
    </row>
    <row r="408" customFormat="1" s="454">
      <c r="A408" s="191" t="n"/>
    </row>
    <row r="409" customFormat="1" s="454">
      <c r="A409" s="191" t="n"/>
    </row>
    <row r="410" customFormat="1" s="454">
      <c r="A410" s="191" t="n"/>
    </row>
    <row r="411" customFormat="1" s="454">
      <c r="A411" s="191" t="n"/>
    </row>
    <row r="412" customFormat="1" s="454">
      <c r="A412" s="191" t="n"/>
    </row>
    <row r="413" customFormat="1" s="454">
      <c r="A413" s="191" t="n"/>
    </row>
    <row r="414" customFormat="1" s="454">
      <c r="A414" s="191" t="n"/>
    </row>
    <row r="415" customFormat="1" s="454">
      <c r="A415" s="191" t="n"/>
    </row>
    <row r="416" customFormat="1" s="454">
      <c r="A416" s="191" t="n"/>
    </row>
    <row r="417" customFormat="1" s="454">
      <c r="A417" s="191" t="n"/>
    </row>
    <row r="418" customFormat="1" s="454">
      <c r="A418" s="191" t="n"/>
    </row>
    <row r="419" customFormat="1" s="454">
      <c r="A419" s="191" t="n"/>
    </row>
    <row r="420" customFormat="1" s="454">
      <c r="A420" s="191" t="n"/>
    </row>
    <row r="421" customFormat="1" s="454">
      <c r="A421" s="191" t="n"/>
    </row>
    <row r="422" customFormat="1" s="454">
      <c r="A422" s="191" t="n"/>
    </row>
    <row r="423" customFormat="1" s="454">
      <c r="A423" s="191" t="n"/>
    </row>
    <row r="424" customFormat="1" s="454">
      <c r="A424" s="191" t="n"/>
    </row>
    <row r="425" customFormat="1" s="454">
      <c r="A425" s="191" t="n"/>
    </row>
    <row r="426" customFormat="1" s="454">
      <c r="A426" s="191" t="n"/>
    </row>
    <row r="427" customFormat="1" s="454">
      <c r="A427" s="191" t="n"/>
    </row>
    <row r="428" customFormat="1" s="454">
      <c r="A428" s="191" t="n"/>
    </row>
    <row r="429" customFormat="1" s="454">
      <c r="A429" s="191" t="n"/>
    </row>
    <row r="430" customFormat="1" s="454">
      <c r="A430" s="191" t="n"/>
    </row>
    <row r="431" customFormat="1" s="454">
      <c r="A431" s="191" t="n"/>
    </row>
    <row r="432" customFormat="1" s="454">
      <c r="A432" s="191" t="n"/>
    </row>
    <row r="433" customFormat="1" s="454">
      <c r="A433" s="191" t="n"/>
    </row>
    <row r="434" customFormat="1" s="454">
      <c r="A434" s="191" t="n"/>
    </row>
    <row r="435" customFormat="1" s="454">
      <c r="A435" s="191" t="n"/>
    </row>
    <row r="436" customFormat="1" s="454">
      <c r="A436" s="191" t="n"/>
    </row>
    <row r="437" customFormat="1" s="454">
      <c r="A437" s="191" t="n"/>
    </row>
    <row r="438" customFormat="1" s="454">
      <c r="A438" s="191" t="n"/>
    </row>
    <row r="439" customFormat="1" s="454">
      <c r="A439" s="191" t="n"/>
    </row>
    <row r="440" customFormat="1" s="454">
      <c r="A440" s="191" t="n"/>
    </row>
    <row r="441" customFormat="1" s="454">
      <c r="A441" s="191" t="n"/>
    </row>
    <row r="442" customFormat="1" s="454">
      <c r="A442" s="191" t="n"/>
    </row>
    <row r="443" customFormat="1" s="454">
      <c r="A443" s="191" t="n"/>
    </row>
    <row r="444" customFormat="1" s="454">
      <c r="A444" s="191" t="n"/>
    </row>
    <row r="445" customFormat="1" s="454">
      <c r="A445" s="191" t="n"/>
    </row>
    <row r="446" customFormat="1" s="454">
      <c r="A446" s="191" t="n"/>
    </row>
    <row r="447" customFormat="1" s="454">
      <c r="A447" s="191" t="n"/>
    </row>
    <row r="448" customFormat="1" s="454">
      <c r="A448" s="191" t="n"/>
    </row>
    <row r="449" customFormat="1" s="454">
      <c r="A449" s="191" t="n"/>
    </row>
    <row r="450" customFormat="1" s="454">
      <c r="A450" s="191" t="n"/>
    </row>
    <row r="451" customFormat="1" s="454">
      <c r="A451" s="191" t="n"/>
    </row>
    <row r="452" customFormat="1" s="454">
      <c r="A452" s="191" t="n"/>
    </row>
    <row r="453" customFormat="1" s="454">
      <c r="A453" s="191" t="n"/>
    </row>
    <row r="454" customFormat="1" s="454">
      <c r="A454" s="191" t="n"/>
    </row>
    <row r="455" customFormat="1" s="454">
      <c r="A455" s="191" t="n"/>
    </row>
    <row r="456" customFormat="1" s="454">
      <c r="A456" s="191" t="n"/>
    </row>
    <row r="457" customFormat="1" s="454">
      <c r="A457" s="191" t="n"/>
    </row>
    <row r="458" customFormat="1" s="454">
      <c r="A458" s="19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BSzv8oGo3T7PzwAw8ItRQ==" formatRows="1" sort="1" spinCount="100000" hashValue="PUsrCzHmK8mFEsyLwFfzmvNcYe/0M1tPNTwG/l/CY+zsrUP2qDGQ6Z7sLmhVlLBvqttnM6pUiGMGy0XayIkUVg=="/>
  <mergeCells count="40">
    <mergeCell ref="C30:G30"/>
    <mergeCell ref="A59:H59"/>
    <mergeCell ref="B30:B32"/>
    <mergeCell ref="A1:H1"/>
    <mergeCell ref="A61:H61"/>
    <mergeCell ref="A26:I26"/>
    <mergeCell ref="G10:G11"/>
    <mergeCell ref="A80:A81"/>
    <mergeCell ref="C10:D10"/>
    <mergeCell ref="C65:G65"/>
    <mergeCell ref="E10:F10"/>
    <mergeCell ref="H30:H32"/>
    <mergeCell ref="A76:I76"/>
    <mergeCell ref="D72:D73"/>
    <mergeCell ref="A74:B74"/>
    <mergeCell ref="C31:D31"/>
    <mergeCell ref="I9:I11"/>
    <mergeCell ref="C9:G9"/>
    <mergeCell ref="E31:F31"/>
    <mergeCell ref="A9:A11"/>
    <mergeCell ref="C80:D80"/>
    <mergeCell ref="A30:A32"/>
    <mergeCell ref="B80:B81"/>
    <mergeCell ref="I30:I32"/>
    <mergeCell ref="A72:A73"/>
    <mergeCell ref="C72:C73"/>
    <mergeCell ref="A63:A64"/>
    <mergeCell ref="B63:B64"/>
    <mergeCell ref="H9:H11"/>
    <mergeCell ref="C67:G67"/>
    <mergeCell ref="C66:G66"/>
    <mergeCell ref="C63:G64"/>
    <mergeCell ref="B9:B11"/>
    <mergeCell ref="A68:H68"/>
    <mergeCell ref="A70:I70"/>
    <mergeCell ref="G31:G32"/>
    <mergeCell ref="A79:I79"/>
    <mergeCell ref="B72:B73"/>
    <mergeCell ref="H63:H64"/>
    <mergeCell ref="A78:I78"/>
  </mergeCells>
  <pageMargins left="0.708333333333333" right="0.708333333333333" top="0.747916666666667" bottom="0.747916666666667" header="0.511811023622047" footer="0.315277777777778"/>
  <pageSetup orientation="landscape" paperSize="9" scale="34" horizontalDpi="300" verticalDpi="300"/>
  <headerFooter>
    <oddHeader/>
    <oddFooter>&amp;R&amp;P</oddFooter>
    <evenHeader/>
    <evenFooter/>
    <firstHeader/>
    <firstFooter/>
  </headerFooter>
  <rowBreaks count="1" manualBreakCount="1">
    <brk id="28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J132"/>
  <sheetViews>
    <sheetView view="pageBreakPreview" topLeftCell="A20" zoomScaleNormal="60" workbookViewId="0">
      <selection activeCell="B15" sqref="B15"/>
    </sheetView>
  </sheetViews>
  <sheetFormatPr baseColWidth="10" defaultColWidth="10" defaultRowHeight="17.25" customHeight="1"/>
  <cols>
    <col collapsed="1" width="11.7265625" customWidth="1" style="293" min="1" max="1"/>
    <col collapsed="1" width="85.6328125" customWidth="1" style="518" min="2" max="2"/>
    <col collapsed="1" width="21.81640625" customWidth="1" style="316" min="3" max="3"/>
    <col collapsed="1" width="21.81640625" customWidth="1" style="770" min="4" max="6"/>
    <col collapsed="1" width="25.08984375" customWidth="1" style="770" min="7" max="7"/>
    <col collapsed="1" width="23.7265625" customWidth="1" style="770" min="8" max="8"/>
    <col collapsed="1" width="24.1796875" customWidth="1" style="770" min="9" max="9"/>
    <col collapsed="1" width="11.90625" customWidth="1" style="770" min="10" max="10"/>
    <col collapsed="1" width="10" customWidth="1" style="770" min="11" max="16384"/>
  </cols>
  <sheetData>
    <row r="1" ht="29.25" customHeight="1" s="885">
      <c r="A1" s="735" t="inlineStr">
        <is>
          <t>RISQUE DE MARCHE : EXIGENCES DE FONDS PROPRES AU TITRE DU RISQUE DE POSITIONS SUR TITRE DE PROPRIETE DU PORTEFEUILLE DE NEGOCIATION</t>
        </is>
      </c>
      <c r="B1" s="886" t="n"/>
      <c r="C1" s="886" t="n"/>
      <c r="D1" s="886" t="n"/>
      <c r="E1" s="886" t="n"/>
      <c r="F1" s="886" t="n"/>
      <c r="G1" s="886" t="n"/>
      <c r="H1" s="886" t="n"/>
      <c r="I1" s="519" t="inlineStr">
        <is>
          <t>EP26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770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</row>
    <row r="7" ht="18" customHeight="1" s="885">
      <c r="A7" s="770" t="n"/>
      <c r="B7" s="302" t="n"/>
      <c r="C7" s="302" t="n"/>
      <c r="D7" s="302" t="n"/>
      <c r="E7" s="302" t="n"/>
      <c r="F7" s="302" t="n"/>
      <c r="G7" s="302" t="n"/>
      <c r="H7" s="302" t="n"/>
      <c r="I7" s="302" t="n"/>
    </row>
    <row r="8" ht="18" customHeight="1" s="885">
      <c r="A8" s="520" t="inlineStr">
        <is>
          <t>A. Risque spécifique</t>
        </is>
      </c>
      <c r="B8" s="521" t="n"/>
      <c r="C8" s="97" t="n"/>
      <c r="D8" s="97" t="n"/>
      <c r="E8" s="97" t="n"/>
      <c r="F8" s="97" t="n"/>
      <c r="G8" s="97" t="n"/>
      <c r="H8" s="97" t="n"/>
      <c r="I8" s="97" t="n"/>
    </row>
    <row r="9" ht="17.25" customFormat="1" customHeight="1" s="16">
      <c r="A9" s="766" t="inlineStr">
        <is>
          <t>Code DISPRU</t>
        </is>
      </c>
      <c r="B9" s="833" t="inlineStr">
        <is>
          <t>Poste</t>
        </is>
      </c>
      <c r="C9" s="766" t="inlineStr">
        <is>
          <t xml:space="preserve">Position </t>
        </is>
      </c>
      <c r="D9" s="894" t="n"/>
      <c r="E9" s="894" t="n"/>
      <c r="F9" s="894" t="n"/>
      <c r="G9" s="895" t="n"/>
      <c r="H9" s="839" t="inlineStr">
        <is>
          <t>Pondération</t>
        </is>
      </c>
      <c r="I9" s="766" t="inlineStr">
        <is>
          <t>Exigences de fonds propres</t>
        </is>
      </c>
    </row>
    <row r="10" ht="25.5" customFormat="1" customHeight="1" s="16">
      <c r="A10" s="958" t="n"/>
      <c r="B10" s="958" t="n"/>
      <c r="C10" s="766" t="inlineStr">
        <is>
          <t>Toutes les positions</t>
        </is>
      </c>
      <c r="D10" s="895" t="n"/>
      <c r="E10" s="766" t="inlineStr">
        <is>
          <t>Positions nettes</t>
        </is>
      </c>
      <c r="F10" s="895" t="n"/>
      <c r="G10" s="766" t="inlineStr">
        <is>
          <t xml:space="preserve">Positions soumises aux exigences de fonds propres </t>
        </is>
      </c>
      <c r="H10" s="958" t="n"/>
      <c r="I10" s="958" t="n"/>
    </row>
    <row r="11" ht="51" customFormat="1" customHeight="1" s="16">
      <c r="A11" s="896" t="n"/>
      <c r="B11" s="896" t="n"/>
      <c r="C11" s="766" t="inlineStr">
        <is>
          <t>Longues</t>
        </is>
      </c>
      <c r="D11" s="766" t="inlineStr">
        <is>
          <t>Courtes</t>
        </is>
      </c>
      <c r="E11" s="766" t="inlineStr">
        <is>
          <t>Longues</t>
        </is>
      </c>
      <c r="F11" s="766" t="inlineStr">
        <is>
          <t>Courtes</t>
        </is>
      </c>
      <c r="G11" s="896" t="n"/>
      <c r="H11" s="958" t="n"/>
      <c r="I11" s="896" t="n"/>
    </row>
    <row r="12" ht="31.5" customFormat="1" customHeight="1" s="391">
      <c r="A12" s="51" t="inlineStr">
        <is>
          <t>RM047</t>
        </is>
      </c>
      <c r="B12" s="117" t="inlineStr">
        <is>
          <t>Portefeuille liquide et bien diversifié faisant l'objet d'exigences plus faibles</t>
        </is>
      </c>
      <c r="C12" s="523" t="n"/>
      <c r="D12" s="523" t="n"/>
      <c r="E12" s="523" t="n"/>
      <c r="F12" s="523" t="n"/>
      <c r="G12" s="523" t="n"/>
      <c r="H12" s="997" t="n">
        <v>0.04</v>
      </c>
      <c r="I12" s="523" t="n">
        <v>0</v>
      </c>
    </row>
    <row r="13" ht="31.5" customFormat="1" customHeight="1" s="391">
      <c r="A13" s="51" t="inlineStr">
        <is>
          <t>RM048</t>
        </is>
      </c>
      <c r="B13" s="117" t="inlineStr">
        <is>
          <t>Actions autres que celles incluses dans un portefeuille liquide et bien diversifié</t>
        </is>
      </c>
      <c r="C13" s="523" t="n"/>
      <c r="D13" s="523" t="n"/>
      <c r="E13" s="523" t="n"/>
      <c r="F13" s="523" t="n"/>
      <c r="G13" s="523" t="n"/>
      <c r="H13" s="997" t="n">
        <v>0.08</v>
      </c>
      <c r="I13" s="523" t="n">
        <v>0</v>
      </c>
    </row>
    <row r="14" ht="17.5" customFormat="1" customHeight="1" s="391">
      <c r="A14" s="525" t="n"/>
      <c r="B14" s="119" t="n"/>
      <c r="C14" s="119" t="n"/>
      <c r="D14" s="119" t="n"/>
      <c r="E14" s="119" t="n"/>
      <c r="F14" s="119" t="n"/>
      <c r="G14" s="998" t="n"/>
      <c r="H14" s="998" t="n"/>
      <c r="I14" s="999" t="n"/>
    </row>
    <row r="15" ht="27.75" customFormat="1" customHeight="1" s="16">
      <c r="A15" s="528" t="inlineStr">
        <is>
          <t>RM049</t>
        </is>
      </c>
      <c r="B15" s="529" t="inlineStr">
        <is>
          <t>Fonds propres pour risque spécifique</t>
        </is>
      </c>
      <c r="C15" s="530" t="n"/>
      <c r="D15" s="530" t="n"/>
      <c r="E15" s="530" t="n"/>
      <c r="F15" s="530" t="n"/>
      <c r="G15" s="1000" t="n"/>
      <c r="H15" s="1000" t="n"/>
      <c r="I15" s="523" t="n">
        <v>0</v>
      </c>
    </row>
    <row r="16" ht="13.5" customFormat="1" customHeight="1" s="391">
      <c r="A16" s="834" t="n"/>
      <c r="B16" s="928" t="n"/>
      <c r="C16" s="928" t="n"/>
      <c r="D16" s="928" t="n"/>
      <c r="E16" s="928" t="n"/>
      <c r="F16" s="928" t="n"/>
      <c r="G16" s="928" t="n"/>
      <c r="H16" s="928" t="n"/>
      <c r="I16" s="928" t="n"/>
    </row>
    <row r="17" ht="18" customHeight="1" s="885">
      <c r="A17" s="520" t="inlineStr">
        <is>
          <t>B. Risque général</t>
        </is>
      </c>
      <c r="B17" s="532" t="n"/>
      <c r="C17" s="109" t="n"/>
      <c r="D17" s="109" t="n"/>
      <c r="E17" s="109" t="n"/>
      <c r="F17" s="109" t="n"/>
      <c r="G17" s="109" t="n"/>
      <c r="H17" s="109" t="n"/>
      <c r="I17" s="109" t="n"/>
    </row>
    <row r="18" ht="18" customFormat="1" customHeight="1" s="16">
      <c r="A18" s="766" t="inlineStr">
        <is>
          <t>Code DISPRU</t>
        </is>
      </c>
      <c r="B18" s="833" t="inlineStr">
        <is>
          <t>Poste</t>
        </is>
      </c>
      <c r="C18" s="766" t="inlineStr">
        <is>
          <t xml:space="preserve">Position </t>
        </is>
      </c>
      <c r="D18" s="894" t="n"/>
      <c r="E18" s="894" t="n"/>
      <c r="F18" s="894" t="n"/>
      <c r="G18" s="895" t="n"/>
      <c r="H18" s="766" t="inlineStr">
        <is>
          <t>Pondération</t>
        </is>
      </c>
      <c r="I18" s="766" t="inlineStr">
        <is>
          <t>Exigences de fonds propres</t>
        </is>
      </c>
    </row>
    <row r="19" ht="25.5" customFormat="1" customHeight="1" s="16">
      <c r="A19" s="958" t="n"/>
      <c r="B19" s="958" t="n"/>
      <c r="C19" s="766" t="inlineStr">
        <is>
          <t>Toutes les positions</t>
        </is>
      </c>
      <c r="D19" s="895" t="n"/>
      <c r="E19" s="766" t="inlineStr">
        <is>
          <t>Positions nettes</t>
        </is>
      </c>
      <c r="F19" s="895" t="n"/>
      <c r="G19" s="766" t="inlineStr">
        <is>
          <t xml:space="preserve">Positions soumises aux exigences de fonds propres </t>
        </is>
      </c>
      <c r="H19" s="958" t="n"/>
      <c r="I19" s="958" t="n"/>
    </row>
    <row r="20" ht="51" customFormat="1" customHeight="1" s="16">
      <c r="A20" s="896" t="n"/>
      <c r="B20" s="896" t="n"/>
      <c r="C20" s="766" t="inlineStr">
        <is>
          <t>Longues</t>
        </is>
      </c>
      <c r="D20" s="766" t="inlineStr">
        <is>
          <t>Courtes</t>
        </is>
      </c>
      <c r="E20" s="766" t="inlineStr">
        <is>
          <t>Longues</t>
        </is>
      </c>
      <c r="F20" s="766" t="inlineStr">
        <is>
          <t>Courtes</t>
        </is>
      </c>
      <c r="G20" s="896" t="n"/>
      <c r="H20" s="896" t="n"/>
      <c r="I20" s="896" t="n"/>
    </row>
    <row r="21" ht="39" customFormat="1" customHeight="1" s="391">
      <c r="A21" s="51" t="inlineStr">
        <is>
          <t>RM050</t>
        </is>
      </c>
      <c r="B21" s="117" t="inlineStr">
        <is>
          <t>Contrats à terme sur indice largement diversifié, négociés en bourse, et faisant l'objet d'un traitement favorable</t>
        </is>
      </c>
      <c r="C21" s="523" t="n"/>
      <c r="D21" s="523" t="n"/>
      <c r="E21" s="523" t="n"/>
      <c r="F21" s="523" t="n"/>
      <c r="G21" s="523" t="n"/>
      <c r="H21" s="997" t="n">
        <v>0.02</v>
      </c>
      <c r="I21" s="523" t="n">
        <v>0</v>
      </c>
    </row>
    <row r="22" ht="41.25" customFormat="1" customHeight="1" s="391">
      <c r="A22" s="51" t="inlineStr">
        <is>
          <t>RM051</t>
        </is>
      </c>
      <c r="B22" s="117" t="inlineStr">
        <is>
          <t>Actions différentes d'un contrat à terme sur indice largement diversifié, négocié en bourse</t>
        </is>
      </c>
      <c r="C22" s="523" t="n"/>
      <c r="D22" s="523" t="n"/>
      <c r="E22" s="523" t="n"/>
      <c r="F22" s="523" t="n"/>
      <c r="G22" s="523" t="n"/>
      <c r="H22" s="997" t="n">
        <v>0.08</v>
      </c>
      <c r="I22" s="523" t="n">
        <v>0</v>
      </c>
    </row>
    <row r="23" ht="13.5" customFormat="1" customHeight="1" s="391">
      <c r="A23" s="838" t="n"/>
      <c r="B23" s="886" t="n"/>
      <c r="C23" s="886" t="n"/>
      <c r="D23" s="886" t="n"/>
      <c r="E23" s="886" t="n"/>
      <c r="F23" s="886" t="n"/>
      <c r="G23" s="886" t="n"/>
      <c r="H23" s="886" t="n"/>
      <c r="I23" s="957" t="n"/>
    </row>
    <row r="24" ht="27.75" customFormat="1" customHeight="1" s="16">
      <c r="A24" s="528" t="inlineStr">
        <is>
          <t>RM052</t>
        </is>
      </c>
      <c r="B24" s="529" t="inlineStr">
        <is>
          <t>Fonds propres pour risque général</t>
        </is>
      </c>
      <c r="C24" s="530" t="n"/>
      <c r="D24" s="530" t="n"/>
      <c r="E24" s="530" t="n"/>
      <c r="F24" s="530" t="n"/>
      <c r="G24" s="1000" t="n"/>
      <c r="H24" s="1000" t="n"/>
      <c r="I24" s="523" t="n">
        <v>0</v>
      </c>
    </row>
    <row r="25" ht="13.5" customFormat="1" customHeight="1" s="391">
      <c r="A25" s="834" t="n"/>
      <c r="B25" s="928" t="n"/>
      <c r="C25" s="928" t="n"/>
      <c r="D25" s="928" t="n"/>
      <c r="E25" s="928" t="n"/>
      <c r="F25" s="928" t="n"/>
      <c r="G25" s="928" t="n"/>
      <c r="H25" s="928" t="n"/>
      <c r="I25" s="928" t="n"/>
    </row>
    <row r="26" ht="18" customHeight="1" s="885">
      <c r="A26" s="520" t="inlineStr">
        <is>
          <t>C. Exigences supplémentaires pour les options</t>
        </is>
      </c>
      <c r="B26" s="532" t="n"/>
      <c r="C26" s="109" t="n"/>
      <c r="D26" s="109" t="n"/>
      <c r="E26" s="109" t="n"/>
      <c r="F26" s="109" t="n"/>
      <c r="G26" s="109" t="n"/>
      <c r="H26" s="109" t="n"/>
      <c r="I26" s="109" t="n"/>
    </row>
    <row r="27" ht="18" customFormat="1" customHeight="1" s="16">
      <c r="A27" s="766" t="inlineStr">
        <is>
          <t>Code DISPRU</t>
        </is>
      </c>
      <c r="B27" s="835" t="inlineStr">
        <is>
          <t>Poste</t>
        </is>
      </c>
      <c r="C27" s="771" t="n"/>
      <c r="D27" s="928" t="n"/>
      <c r="E27" s="928" t="n"/>
      <c r="F27" s="928" t="n"/>
      <c r="G27" s="928" t="n"/>
      <c r="H27" s="929" t="n"/>
      <c r="I27" s="766" t="inlineStr">
        <is>
          <t>Exigences de fonds propres</t>
        </is>
      </c>
    </row>
    <row r="28" ht="38.25" customFormat="1" customHeight="1" s="16">
      <c r="A28" s="896" t="n"/>
      <c r="B28" s="962" t="n"/>
      <c r="C28" s="956" t="n"/>
      <c r="D28" s="956" t="n"/>
      <c r="E28" s="956" t="n"/>
      <c r="F28" s="956" t="n"/>
      <c r="G28" s="956" t="n"/>
      <c r="H28" s="897" t="n"/>
      <c r="I28" s="896" t="n"/>
    </row>
    <row r="29" ht="30" customFormat="1" customHeight="1" s="391">
      <c r="A29" s="51" t="inlineStr">
        <is>
          <t>RM053</t>
        </is>
      </c>
      <c r="B29" s="121" t="inlineStr">
        <is>
          <t>Approche simplifiée</t>
        </is>
      </c>
      <c r="C29" s="836" t="n"/>
      <c r="D29" s="894" t="n"/>
      <c r="E29" s="894" t="n"/>
      <c r="F29" s="894" t="n"/>
      <c r="G29" s="894" t="n"/>
      <c r="H29" s="895" t="n"/>
      <c r="I29" s="523" t="n"/>
    </row>
    <row r="30" ht="30" customFormat="1" customHeight="1" s="391">
      <c r="A30" s="51" t="inlineStr">
        <is>
          <t>RM054</t>
        </is>
      </c>
      <c r="B30" s="121" t="inlineStr">
        <is>
          <t>Méthode Delta Plus - Exigences supplémentaires pour risque Gamma</t>
        </is>
      </c>
      <c r="C30" s="836" t="n"/>
      <c r="D30" s="894" t="n"/>
      <c r="E30" s="894" t="n"/>
      <c r="F30" s="894" t="n"/>
      <c r="G30" s="894" t="n"/>
      <c r="H30" s="895" t="n"/>
      <c r="I30" s="523" t="n"/>
    </row>
    <row r="31" ht="30" customFormat="1" customHeight="1" s="391">
      <c r="A31" s="51" t="inlineStr">
        <is>
          <t>RM055</t>
        </is>
      </c>
      <c r="B31" s="121" t="inlineStr">
        <is>
          <t>Méthode Delta Plus - Exigences supplémentaires pour risque Véga</t>
        </is>
      </c>
      <c r="C31" s="836" t="n"/>
      <c r="D31" s="894" t="n"/>
      <c r="E31" s="894" t="n"/>
      <c r="F31" s="894" t="n"/>
      <c r="G31" s="894" t="n"/>
      <c r="H31" s="895" t="n"/>
      <c r="I31" s="523" t="n"/>
    </row>
    <row r="32" ht="13.5" customFormat="1" customHeight="1" s="391">
      <c r="A32" s="837" t="n"/>
      <c r="B32" s="886" t="n"/>
      <c r="C32" s="886" t="n"/>
      <c r="D32" s="886" t="n"/>
      <c r="E32" s="886" t="n"/>
      <c r="F32" s="886" t="n"/>
      <c r="G32" s="886" t="n"/>
      <c r="H32" s="886" t="n"/>
      <c r="I32" s="886" t="n"/>
    </row>
    <row r="33" ht="30" customFormat="1" customHeight="1" s="16">
      <c r="A33" s="528" t="inlineStr">
        <is>
          <t>RM056</t>
        </is>
      </c>
      <c r="B33" s="529" t="inlineStr">
        <is>
          <t>Fonds propres pour risques sur options</t>
        </is>
      </c>
      <c r="C33" s="771" t="n"/>
      <c r="D33" s="894" t="n"/>
      <c r="E33" s="894" t="n"/>
      <c r="F33" s="894" t="n"/>
      <c r="G33" s="894" t="n"/>
      <c r="H33" s="895" t="n"/>
      <c r="I33" s="523" t="n">
        <v>0</v>
      </c>
    </row>
    <row r="34" ht="13.5" customFormat="1" customHeight="1" s="391">
      <c r="A34" s="834" t="n"/>
      <c r="B34" s="928" t="n"/>
      <c r="C34" s="928" t="n"/>
      <c r="D34" s="928" t="n"/>
      <c r="E34" s="928" t="n"/>
      <c r="F34" s="928" t="n"/>
      <c r="G34" s="928" t="n"/>
      <c r="H34" s="928" t="n"/>
      <c r="I34" s="928" t="n"/>
    </row>
    <row r="35" ht="18" customHeight="1" s="885">
      <c r="A35" s="520" t="inlineStr">
        <is>
          <t xml:space="preserve">D. Actifs pondérés au titre du risque de position sur titre de propriété </t>
        </is>
      </c>
      <c r="B35" s="532" t="n"/>
      <c r="C35" s="109" t="n"/>
      <c r="D35" s="109" t="n"/>
      <c r="E35" s="97" t="n"/>
      <c r="F35" s="97" t="n"/>
      <c r="G35" s="97" t="n"/>
      <c r="H35" s="97" t="n"/>
      <c r="I35" s="97" t="n"/>
    </row>
    <row r="36" ht="20.25" customFormat="1" customHeight="1" s="425">
      <c r="A36" s="766" t="inlineStr">
        <is>
          <t>Code DISPRU</t>
        </is>
      </c>
      <c r="B36" s="835" t="inlineStr">
        <is>
          <t>Poste</t>
        </is>
      </c>
      <c r="C36" s="766" t="inlineStr">
        <is>
          <t>Exigences de fonds propres</t>
        </is>
      </c>
      <c r="D36" s="766" t="inlineStr">
        <is>
          <t>Actifs pondérés des risques</t>
        </is>
      </c>
      <c r="E36" s="533" t="n"/>
      <c r="F36" s="534" t="n"/>
      <c r="G36" s="534" t="n"/>
      <c r="H36" s="534" t="n"/>
      <c r="I36" s="535" t="n"/>
    </row>
    <row r="37" ht="42" customFormat="1" customHeight="1" s="425">
      <c r="A37" s="896" t="n"/>
      <c r="B37" s="962" t="n"/>
      <c r="C37" s="896" t="n"/>
      <c r="D37" s="896" t="n"/>
      <c r="E37" s="536" t="n"/>
      <c r="F37" s="537" t="n"/>
      <c r="G37" s="537" t="n"/>
      <c r="H37" s="537" t="n"/>
      <c r="I37" s="535" t="n"/>
    </row>
    <row r="38" ht="17.25" customFormat="1" customHeight="1" s="425">
      <c r="A38" s="766" t="n"/>
      <c r="B38" s="895" t="n"/>
      <c r="C38" s="839" t="inlineStr">
        <is>
          <t>(a)</t>
        </is>
      </c>
      <c r="D38" s="839" t="inlineStr">
        <is>
          <t>(b)=ax12,5</t>
        </is>
      </c>
      <c r="E38" s="537" t="n"/>
      <c r="F38" s="537" t="n"/>
      <c r="G38" s="537" t="n"/>
      <c r="H38" s="537" t="n"/>
      <c r="I38" s="535" t="n"/>
    </row>
    <row r="39" ht="20" customFormat="1" customHeight="1" s="420">
      <c r="A39" s="126" t="inlineStr">
        <is>
          <t>RM057</t>
        </is>
      </c>
      <c r="B39" s="529" t="inlineStr">
        <is>
          <t>TOTAL</t>
        </is>
      </c>
      <c r="C39" s="523" t="n">
        <v>0</v>
      </c>
      <c r="D39" s="523" t="n">
        <v>0</v>
      </c>
      <c r="E39" s="536" t="n"/>
      <c r="F39" s="537" t="n"/>
      <c r="G39" s="537" t="n"/>
      <c r="H39" s="537" t="n"/>
      <c r="I39" s="435" t="n"/>
    </row>
    <row r="40" ht="20" customFormat="1" customHeight="1" s="542">
      <c r="A40" s="305" t="n"/>
      <c r="B40" s="538" t="n"/>
      <c r="C40" s="539" t="n"/>
      <c r="D40" s="539" t="n"/>
      <c r="E40" s="540" t="n"/>
      <c r="F40" s="540" t="n"/>
      <c r="G40" s="540" t="n"/>
      <c r="H40" s="540" t="n"/>
      <c r="I40" s="541" t="n"/>
    </row>
    <row r="41" ht="13.5" customFormat="1" customHeight="1" s="391">
      <c r="A41" s="830" t="n"/>
      <c r="B41" s="886" t="n"/>
      <c r="C41" s="886" t="n"/>
      <c r="D41" s="886" t="n"/>
      <c r="E41" s="886" t="n"/>
      <c r="F41" s="886" t="n"/>
      <c r="G41" s="886" t="n"/>
      <c r="H41" s="886" t="n"/>
      <c r="I41" s="886" t="n"/>
    </row>
    <row r="42" ht="17.25" customFormat="1" customHeight="1" s="391">
      <c r="A42" s="831" t="inlineStr">
        <is>
          <t>Poste mémoire - Titres de propriété du portefeuille de négociation</t>
        </is>
      </c>
      <c r="B42" s="886" t="n"/>
      <c r="C42" s="886" t="n"/>
      <c r="D42" s="886" t="n"/>
      <c r="E42" s="886" t="n"/>
      <c r="F42" s="886" t="n"/>
      <c r="G42" s="886" t="n"/>
      <c r="H42" s="886" t="n"/>
      <c r="I42" s="50" t="n"/>
    </row>
    <row r="43" ht="13.5" customFormat="1" customHeight="1" s="391">
      <c r="A43" s="830" t="n"/>
      <c r="B43" s="886" t="n"/>
      <c r="C43" s="886" t="n"/>
      <c r="D43" s="886" t="n"/>
      <c r="E43" s="886" t="n"/>
      <c r="F43" s="886" t="n"/>
      <c r="G43" s="886" t="n"/>
      <c r="H43" s="886" t="n"/>
      <c r="I43" s="886" t="n"/>
    </row>
    <row r="44" ht="17.25" customHeight="1" s="885">
      <c r="A44" s="832" t="inlineStr">
        <is>
          <t>Code DISPRU</t>
        </is>
      </c>
      <c r="B44" s="833" t="inlineStr">
        <is>
          <t>Poste</t>
        </is>
      </c>
      <c r="C44" s="766" t="inlineStr">
        <is>
          <t>Toutes les positions</t>
        </is>
      </c>
      <c r="D44" s="895" t="n"/>
      <c r="E44" s="543" t="n"/>
      <c r="F44" s="543" t="n"/>
      <c r="G44" s="543" t="n"/>
      <c r="H44" s="543" t="n"/>
      <c r="I44" s="782" t="n"/>
    </row>
    <row r="45" ht="18" customHeight="1" s="885">
      <c r="A45" s="962" t="n"/>
      <c r="B45" s="896" t="n"/>
      <c r="C45" s="766" t="inlineStr">
        <is>
          <t>Longues</t>
        </is>
      </c>
      <c r="D45" s="766" t="inlineStr">
        <is>
          <t>Courtes</t>
        </is>
      </c>
      <c r="E45" s="543" t="n"/>
      <c r="F45" s="543" t="n"/>
      <c r="G45" s="543" t="n"/>
      <c r="H45" s="543" t="n"/>
      <c r="I45" s="782" t="n"/>
    </row>
    <row r="46" ht="23.25" customHeight="1" s="885">
      <c r="A46" s="544" t="inlineStr">
        <is>
          <t>RM058</t>
        </is>
      </c>
      <c r="B46" s="869" t="inlineStr">
        <is>
          <t>Instruments dérivés</t>
        </is>
      </c>
      <c r="C46" s="523" t="n"/>
      <c r="D46" s="523" t="n"/>
      <c r="E46" s="545" t="n"/>
      <c r="F46" s="545" t="n"/>
      <c r="G46" s="545" t="n"/>
      <c r="H46" s="545" t="n"/>
      <c r="I46" s="782" t="n"/>
    </row>
    <row r="47" ht="23.25" customHeight="1" s="885">
      <c r="A47" s="544" t="inlineStr">
        <is>
          <t>RM059</t>
        </is>
      </c>
      <c r="B47" s="869" t="inlineStr">
        <is>
          <t xml:space="preserve">Autres éléments d'actif et de passif </t>
        </is>
      </c>
      <c r="C47" s="523" t="n"/>
      <c r="D47" s="523" t="n"/>
      <c r="E47" s="545" t="n"/>
      <c r="F47" s="545" t="n"/>
      <c r="G47" s="545" t="n"/>
      <c r="H47" s="545" t="n"/>
      <c r="I47" s="782" t="n"/>
    </row>
    <row r="48" ht="17.5" customHeight="1" s="885">
      <c r="B48" s="546" t="n"/>
      <c r="C48" s="546" t="n"/>
    </row>
    <row r="49" ht="17.5" customFormat="1" customHeight="1" s="770">
      <c r="A49" s="293" t="n"/>
    </row>
    <row r="50" ht="17.5" customFormat="1" customHeight="1" s="770">
      <c r="A50" s="293" t="n"/>
    </row>
    <row r="51" ht="17.5" customFormat="1" customHeight="1" s="770">
      <c r="A51" s="293" t="n"/>
    </row>
    <row r="52" ht="17.5" customFormat="1" customHeight="1" s="770">
      <c r="A52" s="293" t="n"/>
    </row>
    <row r="53" ht="17.5" customFormat="1" customHeight="1" s="770">
      <c r="A53" s="293" t="n"/>
    </row>
    <row r="54" ht="17.5" customFormat="1" customHeight="1" s="770">
      <c r="A54" s="293" t="n"/>
    </row>
    <row r="55" ht="17.5" customFormat="1" customHeight="1" s="770">
      <c r="A55" s="293" t="n"/>
    </row>
    <row r="56" ht="17.5" customFormat="1" customHeight="1" s="770">
      <c r="A56" s="293" t="n"/>
    </row>
    <row r="57" ht="17.5" customFormat="1" customHeight="1" s="770">
      <c r="A57" s="293" t="n"/>
    </row>
    <row r="58" ht="17.5" customFormat="1" customHeight="1" s="770">
      <c r="A58" s="293" t="n"/>
    </row>
    <row r="59" ht="17.5" customFormat="1" customHeight="1" s="770">
      <c r="A59" s="293" t="n"/>
    </row>
    <row r="60" ht="17.5" customFormat="1" customHeight="1" s="770">
      <c r="A60" s="293" t="n"/>
    </row>
    <row r="61" ht="17.5" customFormat="1" customHeight="1" s="770">
      <c r="A61" s="293" t="n"/>
    </row>
    <row r="62" ht="17.5" customFormat="1" customHeight="1" s="770">
      <c r="A62" s="293" t="n"/>
    </row>
    <row r="63" ht="17.5" customFormat="1" customHeight="1" s="770">
      <c r="A63" s="293" t="n"/>
    </row>
    <row r="64" ht="17.5" customFormat="1" customHeight="1" s="770">
      <c r="A64" s="293" t="n"/>
    </row>
    <row r="65" ht="17.5" customFormat="1" customHeight="1" s="770">
      <c r="A65" s="293" t="n"/>
    </row>
    <row r="66" ht="17.5" customFormat="1" customHeight="1" s="770">
      <c r="A66" s="293" t="n"/>
    </row>
    <row r="67" ht="17.5" customFormat="1" customHeight="1" s="770">
      <c r="A67" s="293" t="n"/>
    </row>
    <row r="68" ht="17.5" customFormat="1" customHeight="1" s="770">
      <c r="A68" s="293" t="n"/>
    </row>
    <row r="69" ht="17.5" customFormat="1" customHeight="1" s="770">
      <c r="A69" s="293" t="n"/>
    </row>
    <row r="70" ht="17.5" customFormat="1" customHeight="1" s="770">
      <c r="A70" s="293" t="n"/>
    </row>
    <row r="71" ht="17.5" customFormat="1" customHeight="1" s="770">
      <c r="A71" s="293" t="n"/>
    </row>
    <row r="72" ht="17.5" customFormat="1" customHeight="1" s="770">
      <c r="A72" s="293" t="n"/>
    </row>
    <row r="73" ht="17.5" customFormat="1" customHeight="1" s="770">
      <c r="A73" s="293" t="n"/>
    </row>
    <row r="74" ht="17.5" customFormat="1" customHeight="1" s="770">
      <c r="A74" s="293" t="n"/>
    </row>
    <row r="75" ht="17.5" customFormat="1" customHeight="1" s="770">
      <c r="A75" s="293" t="n"/>
    </row>
    <row r="76" ht="17.5" customFormat="1" customHeight="1" s="770">
      <c r="A76" s="293" t="n"/>
    </row>
    <row r="77" ht="17.5" customFormat="1" customHeight="1" s="770">
      <c r="A77" s="293" t="n"/>
    </row>
    <row r="78" ht="17.5" customFormat="1" customHeight="1" s="770">
      <c r="A78" s="293" t="n"/>
    </row>
    <row r="79" ht="17.5" customFormat="1" customHeight="1" s="770">
      <c r="A79" s="293" t="n"/>
    </row>
    <row r="80" ht="17.5" customFormat="1" customHeight="1" s="770">
      <c r="A80" s="293" t="n"/>
    </row>
    <row r="81" ht="17.5" customFormat="1" customHeight="1" s="770">
      <c r="A81" s="293" t="n"/>
    </row>
    <row r="82" ht="17.5" customFormat="1" customHeight="1" s="770">
      <c r="A82" s="293" t="n"/>
    </row>
    <row r="83" ht="17.5" customFormat="1" customHeight="1" s="770">
      <c r="A83" s="293" t="n"/>
    </row>
    <row r="84" ht="17.5" customFormat="1" customHeight="1" s="770">
      <c r="A84" s="293" t="n"/>
    </row>
    <row r="85" ht="17.5" customFormat="1" customHeight="1" s="770">
      <c r="A85" s="293" t="n"/>
    </row>
    <row r="86" ht="17.5" customFormat="1" customHeight="1" s="770">
      <c r="A86" s="293" t="n"/>
    </row>
    <row r="87" ht="17.5" customFormat="1" customHeight="1" s="770">
      <c r="A87" s="293" t="n"/>
    </row>
    <row r="88" ht="17.5" customFormat="1" customHeight="1" s="770">
      <c r="A88" s="293" t="n"/>
    </row>
    <row r="89" ht="17.5" customFormat="1" customHeight="1" s="770">
      <c r="A89" s="293" t="n"/>
    </row>
    <row r="90" ht="17.5" customFormat="1" customHeight="1" s="770">
      <c r="A90" s="293" t="n"/>
    </row>
    <row r="91" ht="17.5" customFormat="1" customHeight="1" s="770">
      <c r="A91" s="293" t="n"/>
    </row>
    <row r="92" ht="17.5" customFormat="1" customHeight="1" s="770">
      <c r="A92" s="293" t="n"/>
    </row>
    <row r="93" ht="17.5" customFormat="1" customHeight="1" s="770">
      <c r="A93" s="293" t="n"/>
    </row>
    <row r="94" ht="17.5" customFormat="1" customHeight="1" s="770">
      <c r="A94" s="293" t="n"/>
    </row>
    <row r="95" ht="17.5" customFormat="1" customHeight="1" s="770">
      <c r="A95" s="293" t="n"/>
    </row>
    <row r="96" ht="17.5" customFormat="1" customHeight="1" s="770">
      <c r="A96" s="293" t="n"/>
    </row>
    <row r="97" ht="17.5" customFormat="1" customHeight="1" s="770">
      <c r="A97" s="293" t="n"/>
    </row>
    <row r="98" ht="17.5" customFormat="1" customHeight="1" s="770">
      <c r="A98" s="293" t="n"/>
    </row>
    <row r="99" ht="17.5" customFormat="1" customHeight="1" s="770">
      <c r="A99" s="293" t="n"/>
    </row>
    <row r="100" ht="17.5" customFormat="1" customHeight="1" s="770">
      <c r="A100" s="293" t="n"/>
    </row>
    <row r="101" ht="17.5" customFormat="1" customHeight="1" s="770">
      <c r="A101" s="293" t="n"/>
    </row>
    <row r="102" ht="17.5" customFormat="1" customHeight="1" s="770">
      <c r="A102" s="293" t="n"/>
    </row>
    <row r="103" ht="17.5" customFormat="1" customHeight="1" s="770">
      <c r="A103" s="293" t="n"/>
    </row>
    <row r="104" ht="17.5" customFormat="1" customHeight="1" s="770">
      <c r="A104" s="293" t="n"/>
    </row>
    <row r="105" ht="17.5" customFormat="1" customHeight="1" s="770">
      <c r="A105" s="293" t="n"/>
    </row>
    <row r="106" ht="17.5" customFormat="1" customHeight="1" s="770">
      <c r="A106" s="293" t="n"/>
    </row>
    <row r="107" ht="17.5" customFormat="1" customHeight="1" s="770">
      <c r="A107" s="293" t="n"/>
    </row>
    <row r="108" ht="17.5" customFormat="1" customHeight="1" s="770">
      <c r="A108" s="293" t="n"/>
    </row>
    <row r="109" ht="17.5" customFormat="1" customHeight="1" s="770">
      <c r="A109" s="293" t="n"/>
    </row>
    <row r="110" ht="17.5" customFormat="1" customHeight="1" s="770">
      <c r="A110" s="293" t="n"/>
    </row>
    <row r="111" ht="17.5" customFormat="1" customHeight="1" s="770">
      <c r="A111" s="293" t="n"/>
    </row>
    <row r="112" ht="17.5" customFormat="1" customHeight="1" s="770">
      <c r="A112" s="293" t="n"/>
    </row>
    <row r="113" ht="17.5" customFormat="1" customHeight="1" s="770">
      <c r="A113" s="293" t="n"/>
    </row>
    <row r="114" ht="17.5" customFormat="1" customHeight="1" s="770">
      <c r="A114" s="293" t="n"/>
    </row>
    <row r="115" ht="17.5" customFormat="1" customHeight="1" s="770">
      <c r="A115" s="293" t="n"/>
    </row>
    <row r="116" ht="17.5" customFormat="1" customHeight="1" s="770">
      <c r="A116" s="293" t="n"/>
    </row>
    <row r="117" ht="17.5" customFormat="1" customHeight="1" s="770">
      <c r="A117" s="293" t="n"/>
    </row>
    <row r="118" ht="17.5" customFormat="1" customHeight="1" s="770">
      <c r="A118" s="293" t="n"/>
    </row>
    <row r="119" ht="17.5" customFormat="1" customHeight="1" s="770">
      <c r="A119" s="293" t="n"/>
    </row>
    <row r="120" ht="17.5" customFormat="1" customHeight="1" s="770">
      <c r="A120" s="293" t="n"/>
    </row>
    <row r="121" ht="17.5" customFormat="1" customHeight="1" s="770">
      <c r="A121" s="293" t="n"/>
    </row>
    <row r="122" ht="17.5" customFormat="1" customHeight="1" s="770">
      <c r="A122" s="293" t="n"/>
    </row>
    <row r="123" ht="17.5" customFormat="1" customHeight="1" s="770">
      <c r="A123" s="293" t="n"/>
    </row>
    <row r="124" ht="17.5" customFormat="1" customHeight="1" s="770">
      <c r="A124" s="293" t="n"/>
    </row>
    <row r="125" ht="17.5" customFormat="1" customHeight="1" s="770">
      <c r="A125" s="293" t="n"/>
    </row>
    <row r="126" ht="17.5" customFormat="1" customHeight="1" s="770">
      <c r="A126" s="293" t="n"/>
    </row>
    <row r="127" ht="17.5" customFormat="1" customHeight="1" s="770">
      <c r="A127" s="293" t="n"/>
    </row>
    <row r="128" ht="17.5" customFormat="1" customHeight="1" s="770">
      <c r="A128" s="293" t="n"/>
    </row>
    <row r="129" ht="17.5" customFormat="1" customHeight="1" s="770">
      <c r="A129" s="293" t="n"/>
    </row>
    <row r="130" ht="17.5" customFormat="1" customHeight="1" s="770">
      <c r="A130" s="293" t="n"/>
    </row>
    <row r="131" ht="17.5" customFormat="1" customHeight="1" s="770">
      <c r="A131" s="293" t="n"/>
    </row>
    <row r="132" ht="17.5" customFormat="1" customHeight="1" s="770">
      <c r="A132" s="29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jvH9e36X9fheOFGks+9Cw==" formatRows="1" sort="1" spinCount="100000" hashValue="xIZk9d5Bf/QpwZHUttlidxNDZPYrjRkolxpe/RRF/Dk17BoUnLzJQ2IdBzQW0kmGWxjxjVGZtoMhxj50+tyeTg=="/>
  <mergeCells count="41">
    <mergeCell ref="I18:I20"/>
    <mergeCell ref="A25:I25"/>
    <mergeCell ref="B27:B28"/>
    <mergeCell ref="A41:I41"/>
    <mergeCell ref="C18:G18"/>
    <mergeCell ref="C31:H31"/>
    <mergeCell ref="A36:A37"/>
    <mergeCell ref="A1:H1"/>
    <mergeCell ref="D36:D37"/>
    <mergeCell ref="G19:G20"/>
    <mergeCell ref="G10:G11"/>
    <mergeCell ref="H18:H20"/>
    <mergeCell ref="A27:A28"/>
    <mergeCell ref="C10:D10"/>
    <mergeCell ref="E10:F10"/>
    <mergeCell ref="A32:I32"/>
    <mergeCell ref="E19:F19"/>
    <mergeCell ref="A23:I23"/>
    <mergeCell ref="A16:I16"/>
    <mergeCell ref="C44:D44"/>
    <mergeCell ref="I9:I11"/>
    <mergeCell ref="C9:G9"/>
    <mergeCell ref="C36:C37"/>
    <mergeCell ref="A9:A11"/>
    <mergeCell ref="B44:B45"/>
    <mergeCell ref="A43:I43"/>
    <mergeCell ref="B36:B37"/>
    <mergeCell ref="A42:H42"/>
    <mergeCell ref="A34:I34"/>
    <mergeCell ref="C30:H30"/>
    <mergeCell ref="B18:B20"/>
    <mergeCell ref="A44:A45"/>
    <mergeCell ref="C33:H33"/>
    <mergeCell ref="H9:H11"/>
    <mergeCell ref="A38:B38"/>
    <mergeCell ref="C19:D19"/>
    <mergeCell ref="B9:B11"/>
    <mergeCell ref="C29:H29"/>
    <mergeCell ref="I27:I28"/>
    <mergeCell ref="A18:A20"/>
    <mergeCell ref="C27:H28"/>
  </mergeCells>
  <pageMargins left="0.708333333333333" right="0.708333333333333" top="0.747916666666667" bottom="0.747916666666667" header="0.511811023622047" footer="0.315277777777778"/>
  <pageSetup orientation="landscape" paperSize="9" scale="43" horizontalDpi="300" verticalDpi="300"/>
  <headerFooter>
    <oddHeader/>
    <oddFooter>&amp;R&amp;P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K164"/>
  <sheetViews>
    <sheetView view="pageBreakPreview" zoomScaleNormal="60" workbookViewId="0">
      <selection activeCell="B12" sqref="B12"/>
    </sheetView>
  </sheetViews>
  <sheetFormatPr baseColWidth="10" defaultColWidth="10" defaultRowHeight="17.25" customHeight="1"/>
  <cols>
    <col collapsed="1" width="11.08984375" customWidth="1" style="547" min="1" max="1"/>
    <col collapsed="1" width="77.26953125" customWidth="1" style="548" min="2" max="2"/>
    <col collapsed="1" width="23" customWidth="1" style="549" min="3" max="3"/>
    <col collapsed="1" width="23" customWidth="1" style="550" min="4" max="8"/>
    <col collapsed="1" width="21.7265625" customWidth="1" style="550" min="9" max="10"/>
    <col collapsed="1" width="11.90625" customWidth="1" style="550" min="11" max="12"/>
    <col collapsed="1" width="10" customWidth="1" style="550" min="13" max="16384"/>
  </cols>
  <sheetData>
    <row r="1" ht="29.25" customHeight="1" s="885">
      <c r="A1" s="846" t="inlineStr">
        <is>
          <t>RISQUE DE MARCHE : EXIGENCES DE FONDS PROPRES AU TITRE DU RISQUE DE CHANGE</t>
        </is>
      </c>
      <c r="J1" s="1001" t="inlineStr">
        <is>
          <t>EP27</t>
        </is>
      </c>
      <c r="K1" s="552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A7" s="550" t="n"/>
      <c r="B7" s="553" t="n"/>
      <c r="C7" s="553" t="n"/>
      <c r="D7" s="553" t="n"/>
      <c r="E7" s="553" t="n"/>
      <c r="F7" s="553" t="n"/>
      <c r="G7" s="553" t="n"/>
      <c r="H7" s="553" t="n"/>
      <c r="I7" s="553" t="n"/>
      <c r="J7" s="553" t="n"/>
    </row>
    <row r="8" ht="18" customHeight="1" s="885">
      <c r="A8" s="554" t="inlineStr">
        <is>
          <t>A. Risque général</t>
        </is>
      </c>
      <c r="B8" s="555" t="n"/>
      <c r="C8" s="556" t="n"/>
      <c r="D8" s="556" t="n"/>
      <c r="E8" s="556" t="n"/>
      <c r="F8" s="556" t="n"/>
      <c r="G8" s="556" t="n"/>
      <c r="H8" s="556" t="n"/>
      <c r="I8" s="556" t="n"/>
      <c r="J8" s="556" t="n"/>
    </row>
    <row r="9" ht="57.75" customFormat="1" customHeight="1" s="559">
      <c r="A9" s="841" t="inlineStr">
        <is>
          <t>Code DISPRU</t>
        </is>
      </c>
      <c r="B9" s="835" t="inlineStr">
        <is>
          <t>Poste</t>
        </is>
      </c>
      <c r="C9" s="841" t="inlineStr">
        <is>
          <t>Toutes les positions</t>
        </is>
      </c>
      <c r="D9" s="901" t="n"/>
      <c r="E9" s="841" t="inlineStr">
        <is>
          <t>Positions nettes</t>
        </is>
      </c>
      <c r="F9" s="901" t="n"/>
      <c r="G9" s="843" t="inlineStr">
        <is>
          <t xml:space="preserve">Positions soumises aux exigences de fonds propres </t>
        </is>
      </c>
      <c r="H9" s="900" t="n"/>
      <c r="I9" s="558" t="inlineStr">
        <is>
          <t>Pondération</t>
        </is>
      </c>
      <c r="J9" s="558" t="inlineStr">
        <is>
          <t>Exigences de fonds propres</t>
        </is>
      </c>
    </row>
    <row r="10" ht="25.5" customFormat="1" customHeight="1" s="559">
      <c r="A10" s="1002" t="n"/>
      <c r="B10" s="962" t="n"/>
      <c r="C10" s="841" t="inlineStr">
        <is>
          <t>Longues</t>
        </is>
      </c>
      <c r="D10" s="841" t="inlineStr">
        <is>
          <t>Courtes</t>
        </is>
      </c>
      <c r="E10" s="841" t="inlineStr">
        <is>
          <t>Longues</t>
        </is>
      </c>
      <c r="F10" s="841" t="inlineStr">
        <is>
          <t>Courtes</t>
        </is>
      </c>
      <c r="G10" s="560" t="inlineStr">
        <is>
          <t>Longues</t>
        </is>
      </c>
      <c r="H10" s="560" t="inlineStr">
        <is>
          <t>Courtes</t>
        </is>
      </c>
      <c r="I10" s="561" t="n"/>
      <c r="J10" s="561" t="n"/>
    </row>
    <row r="11" ht="30" customHeight="1" s="885">
      <c r="A11" s="185" t="inlineStr">
        <is>
          <t>RM060</t>
        </is>
      </c>
      <c r="B11" s="160" t="inlineStr">
        <is>
          <t xml:space="preserve">Devises </t>
        </is>
      </c>
      <c r="C11" s="523" t="n"/>
      <c r="D11" s="523" t="n"/>
      <c r="E11" s="523" t="n"/>
      <c r="F11" s="523" t="n"/>
      <c r="G11" s="523" t="n"/>
      <c r="H11" s="523" t="n"/>
      <c r="I11" s="1003" t="n">
        <v>0.08</v>
      </c>
      <c r="J11" s="523" t="n">
        <v>0</v>
      </c>
    </row>
    <row r="12" ht="30" customHeight="1" s="885">
      <c r="A12" s="185" t="inlineStr">
        <is>
          <t>RM061</t>
        </is>
      </c>
      <c r="B12" s="563" t="inlineStr">
        <is>
          <t>Or</t>
        </is>
      </c>
      <c r="C12" s="523" t="n"/>
      <c r="D12" s="523" t="n"/>
      <c r="E12" s="523" t="n"/>
      <c r="F12" s="523" t="n"/>
      <c r="G12" s="523" t="n"/>
      <c r="H12" s="523" t="n"/>
      <c r="I12" s="1003" t="n">
        <v>0.08</v>
      </c>
      <c r="J12" s="523" t="n">
        <v>0</v>
      </c>
    </row>
    <row r="13" ht="13.5" customFormat="1" customHeight="1" s="391">
      <c r="A13" s="837" t="n"/>
      <c r="B13" s="886" t="n"/>
      <c r="C13" s="886" t="n"/>
      <c r="D13" s="886" t="n"/>
      <c r="E13" s="886" t="n"/>
      <c r="F13" s="886" t="n"/>
      <c r="G13" s="886" t="n"/>
      <c r="H13" s="886" t="n"/>
      <c r="I13" s="886" t="n"/>
      <c r="J13" s="564" t="n"/>
    </row>
    <row r="14" ht="30" customHeight="1" s="885">
      <c r="A14" s="185" t="inlineStr">
        <is>
          <t>RM062</t>
        </is>
      </c>
      <c r="B14" s="565" t="inlineStr">
        <is>
          <t>Fonds propres pour risque général</t>
        </is>
      </c>
      <c r="C14" s="566" t="n"/>
      <c r="D14" s="566" t="n"/>
      <c r="E14" s="566" t="n"/>
      <c r="F14" s="566" t="n"/>
      <c r="G14" s="1004" t="n"/>
      <c r="H14" s="1004" t="n"/>
      <c r="I14" s="1004" t="n"/>
      <c r="J14" s="523" t="n">
        <v>0</v>
      </c>
    </row>
    <row r="15" ht="17.5" customHeight="1" s="885">
      <c r="A15" s="840" t="n"/>
      <c r="B15" s="556" t="n"/>
      <c r="C15" s="556" t="n"/>
      <c r="D15" s="556" t="n"/>
      <c r="E15" s="556" t="n"/>
      <c r="F15" s="556" t="n"/>
      <c r="G15" s="1005" t="n"/>
      <c r="H15" s="1005" t="n"/>
      <c r="I15" s="1005" t="n"/>
      <c r="J15" s="1006" t="n"/>
    </row>
    <row r="16" ht="25.5" customFormat="1" customHeight="1" s="16">
      <c r="A16" s="845" t="inlineStr">
        <is>
          <t>B. Exigences supplémentaires pour les options</t>
        </is>
      </c>
      <c r="B16" s="956" t="n"/>
      <c r="C16" s="571" t="n"/>
      <c r="D16" s="572" t="n"/>
      <c r="E16" s="571" t="n"/>
      <c r="F16" s="571" t="n"/>
      <c r="G16" s="571" t="n"/>
      <c r="H16" s="571" t="n"/>
      <c r="I16" s="571" t="n"/>
      <c r="J16" s="571" t="n"/>
    </row>
    <row r="17" ht="18" customFormat="1" customHeight="1" s="16">
      <c r="A17" s="766" t="inlineStr">
        <is>
          <t>Code DISPRU</t>
        </is>
      </c>
      <c r="B17" s="835" t="inlineStr">
        <is>
          <t>Poste</t>
        </is>
      </c>
      <c r="C17" s="771" t="n"/>
      <c r="D17" s="928" t="n"/>
      <c r="E17" s="928" t="n"/>
      <c r="F17" s="928" t="n"/>
      <c r="G17" s="928" t="n"/>
      <c r="H17" s="928" t="n"/>
      <c r="I17" s="929" t="n"/>
      <c r="J17" s="766" t="inlineStr">
        <is>
          <t>Exigences de fonds propres</t>
        </is>
      </c>
    </row>
    <row r="18" ht="38.25" customFormat="1" customHeight="1" s="16">
      <c r="A18" s="896" t="n"/>
      <c r="B18" s="962" t="n"/>
      <c r="C18" s="956" t="n"/>
      <c r="D18" s="956" t="n"/>
      <c r="E18" s="956" t="n"/>
      <c r="F18" s="956" t="n"/>
      <c r="G18" s="956" t="n"/>
      <c r="H18" s="956" t="n"/>
      <c r="I18" s="897" t="n"/>
      <c r="J18" s="896" t="n"/>
    </row>
    <row r="19" ht="30" customFormat="1" customHeight="1" s="391">
      <c r="A19" s="51" t="inlineStr">
        <is>
          <t>RM063</t>
        </is>
      </c>
      <c r="B19" s="121" t="inlineStr">
        <is>
          <t>Approche simplifiée</t>
        </is>
      </c>
      <c r="C19" s="836" t="n"/>
      <c r="D19" s="894" t="n"/>
      <c r="E19" s="894" t="n"/>
      <c r="F19" s="894" t="n"/>
      <c r="G19" s="894" t="n"/>
      <c r="H19" s="894" t="n"/>
      <c r="I19" s="895" t="n"/>
      <c r="J19" s="523" t="n"/>
    </row>
    <row r="20" ht="30" customFormat="1" customHeight="1" s="391">
      <c r="A20" s="51" t="inlineStr">
        <is>
          <t>RM064</t>
        </is>
      </c>
      <c r="B20" s="121" t="inlineStr">
        <is>
          <t>Méthode Delta Plus - Exigences supplémentaires pour risque Gamma</t>
        </is>
      </c>
      <c r="C20" s="836" t="n"/>
      <c r="D20" s="894" t="n"/>
      <c r="E20" s="894" t="n"/>
      <c r="F20" s="894" t="n"/>
      <c r="G20" s="894" t="n"/>
      <c r="H20" s="894" t="n"/>
      <c r="I20" s="895" t="n"/>
      <c r="J20" s="523" t="n"/>
    </row>
    <row r="21" ht="30" customFormat="1" customHeight="1" s="391">
      <c r="A21" s="51" t="inlineStr">
        <is>
          <t>RM065</t>
        </is>
      </c>
      <c r="B21" s="121" t="inlineStr">
        <is>
          <t>Méthode Delta Plus - Exigences supplémentaires pour risque Véga</t>
        </is>
      </c>
      <c r="C21" s="836" t="n"/>
      <c r="D21" s="894" t="n"/>
      <c r="E21" s="894" t="n"/>
      <c r="F21" s="894" t="n"/>
      <c r="G21" s="894" t="n"/>
      <c r="H21" s="894" t="n"/>
      <c r="I21" s="895" t="n"/>
      <c r="J21" s="523" t="n"/>
    </row>
    <row r="22" ht="13.5" customFormat="1" customHeight="1" s="391">
      <c r="A22" s="837" t="n"/>
      <c r="B22" s="886" t="n"/>
      <c r="C22" s="886" t="n"/>
      <c r="D22" s="886" t="n"/>
      <c r="E22" s="886" t="n"/>
      <c r="F22" s="886" t="n"/>
      <c r="G22" s="886" t="n"/>
      <c r="H22" s="886" t="n"/>
      <c r="I22" s="886" t="n"/>
      <c r="J22" s="886" t="n"/>
    </row>
    <row r="23" ht="30" customFormat="1" customHeight="1" s="16">
      <c r="A23" s="528" t="inlineStr">
        <is>
          <t>RM066</t>
        </is>
      </c>
      <c r="B23" s="529" t="inlineStr">
        <is>
          <t>Fonds propres pour risques sur options</t>
        </is>
      </c>
      <c r="C23" s="771" t="n"/>
      <c r="D23" s="894" t="n"/>
      <c r="E23" s="894" t="n"/>
      <c r="F23" s="894" t="n"/>
      <c r="G23" s="894" t="n"/>
      <c r="H23" s="894" t="n"/>
      <c r="I23" s="895" t="n"/>
      <c r="J23" s="523" t="n">
        <v>0</v>
      </c>
    </row>
    <row r="24" ht="13.5" customFormat="1" customHeight="1" s="391">
      <c r="A24" s="830" t="n"/>
      <c r="B24" s="886" t="n"/>
      <c r="C24" s="886" t="n"/>
      <c r="D24" s="886" t="n"/>
      <c r="E24" s="886" t="n"/>
      <c r="F24" s="886" t="n"/>
      <c r="G24" s="886" t="n"/>
      <c r="H24" s="886" t="n"/>
      <c r="I24" s="886" t="n"/>
      <c r="J24" s="50" t="n"/>
    </row>
    <row r="25" ht="38.25" customFormat="1" customHeight="1" s="16">
      <c r="A25" s="844" t="inlineStr">
        <is>
          <t>C. Actifs pondérés au titre du risque de change</t>
        </is>
      </c>
      <c r="B25" s="886" t="n"/>
      <c r="C25" s="571" t="n"/>
      <c r="D25" s="571" t="n"/>
      <c r="E25" s="571" t="n"/>
      <c r="F25" s="571" t="n"/>
      <c r="G25" s="571" t="n"/>
      <c r="H25" s="571" t="n"/>
      <c r="I25" s="571" t="n"/>
      <c r="J25" s="571" t="n"/>
    </row>
    <row r="26" ht="20.25" customFormat="1" customHeight="1" s="425">
      <c r="A26" s="766" t="inlineStr">
        <is>
          <t>Code DISPRU</t>
        </is>
      </c>
      <c r="B26" s="835" t="inlineStr">
        <is>
          <t>Poste</t>
        </is>
      </c>
      <c r="C26" s="766" t="inlineStr">
        <is>
          <t>Exigences de fonds propres</t>
        </is>
      </c>
      <c r="D26" s="766" t="inlineStr">
        <is>
          <t>Actifs pondérés des risques</t>
        </is>
      </c>
      <c r="E26" s="533" t="n"/>
      <c r="F26" s="534" t="n"/>
      <c r="G26" s="534" t="n"/>
      <c r="H26" s="534" t="n"/>
      <c r="I26" s="535" t="n"/>
      <c r="J26" s="535" t="n"/>
    </row>
    <row r="27" ht="42" customFormat="1" customHeight="1" s="425">
      <c r="A27" s="896" t="n"/>
      <c r="B27" s="962" t="n"/>
      <c r="C27" s="896" t="n"/>
      <c r="D27" s="896" t="n"/>
      <c r="E27" s="536" t="n"/>
      <c r="F27" s="537" t="n"/>
      <c r="G27" s="537" t="n"/>
      <c r="H27" s="537" t="n"/>
      <c r="I27" s="535" t="n"/>
      <c r="J27" s="535" t="n"/>
    </row>
    <row r="28" ht="17.25" customFormat="1" customHeight="1" s="425">
      <c r="A28" s="766" t="n"/>
      <c r="B28" s="895" t="n"/>
      <c r="C28" s="839" t="inlineStr">
        <is>
          <t>(a)</t>
        </is>
      </c>
      <c r="D28" s="839" t="inlineStr">
        <is>
          <t>(b)=ax12,5</t>
        </is>
      </c>
      <c r="E28" s="537" t="n"/>
      <c r="F28" s="537" t="n"/>
      <c r="G28" s="537" t="n"/>
      <c r="H28" s="537" t="n"/>
      <c r="I28" s="535" t="n"/>
      <c r="J28" s="535" t="n"/>
    </row>
    <row r="29" ht="20" customFormat="1" customHeight="1" s="420">
      <c r="A29" s="126" t="inlineStr">
        <is>
          <t>RM067</t>
        </is>
      </c>
      <c r="B29" s="529" t="inlineStr">
        <is>
          <t>TOTAL</t>
        </is>
      </c>
      <c r="C29" s="523" t="n">
        <v>0</v>
      </c>
      <c r="D29" s="523" t="n">
        <v>0</v>
      </c>
      <c r="E29" s="536" t="n"/>
      <c r="F29" s="537" t="n"/>
      <c r="G29" s="537" t="n"/>
      <c r="H29" s="537" t="n"/>
      <c r="I29" s="435" t="n"/>
      <c r="J29" s="435" t="n"/>
    </row>
    <row r="30" ht="17.5" customHeight="1" s="885">
      <c r="A30" s="573" t="n"/>
      <c r="B30" s="840" t="n"/>
      <c r="C30" s="840" t="n"/>
      <c r="D30" s="840" t="n"/>
      <c r="E30" s="840" t="n"/>
      <c r="F30" s="840" t="n"/>
      <c r="G30" s="840" t="n"/>
      <c r="H30" s="840" t="n"/>
      <c r="I30" s="840" t="n"/>
      <c r="J30" s="840" t="n"/>
    </row>
    <row r="31" ht="18" customHeight="1" s="885">
      <c r="A31" s="736" t="inlineStr">
        <is>
          <t>Poste mémoire - Répartition total des positions (y compris le FCFA) par catégorie d'exposition</t>
        </is>
      </c>
      <c r="B31" s="886" t="n"/>
      <c r="C31" s="886" t="n"/>
      <c r="D31" s="886" t="n"/>
      <c r="E31" s="886" t="n"/>
      <c r="F31" s="886" t="n"/>
      <c r="G31" s="886" t="n"/>
      <c r="H31" s="886" t="n"/>
      <c r="I31" s="840" t="n"/>
      <c r="J31" s="840" t="n"/>
    </row>
    <row r="32" ht="17.5" customHeight="1" s="885">
      <c r="A32" s="842" t="n"/>
      <c r="B32" s="1007" t="n"/>
      <c r="C32" s="1007" t="n"/>
      <c r="D32" s="1007" t="n"/>
      <c r="E32" s="1007" t="n"/>
      <c r="F32" s="1007" t="n"/>
      <c r="G32" s="1007" t="n"/>
      <c r="H32" s="1007" t="n"/>
      <c r="I32" s="840" t="n"/>
      <c r="J32" s="840" t="n"/>
    </row>
    <row r="33" ht="45" customHeight="1" s="885">
      <c r="A33" s="843" t="inlineStr">
        <is>
          <t>Code DISPRU</t>
        </is>
      </c>
      <c r="B33" s="833" t="inlineStr">
        <is>
          <t>Poste</t>
        </is>
      </c>
      <c r="C33" s="841" t="inlineStr">
        <is>
          <t>Toutes les positions</t>
        </is>
      </c>
      <c r="D33" s="901" t="n"/>
      <c r="E33" s="543" t="n"/>
      <c r="F33" s="543" t="n"/>
      <c r="G33" s="543" t="n"/>
      <c r="H33" s="543" t="n"/>
      <c r="I33" s="574" t="n"/>
      <c r="J33" s="840" t="n"/>
    </row>
    <row r="34" ht="18" customHeight="1" s="885">
      <c r="A34" s="1008" t="n"/>
      <c r="B34" s="896" t="n"/>
      <c r="C34" s="841" t="inlineStr">
        <is>
          <t>Longues</t>
        </is>
      </c>
      <c r="D34" s="841" t="inlineStr">
        <is>
          <t>Courtes</t>
        </is>
      </c>
      <c r="E34" s="543" t="n"/>
      <c r="F34" s="543" t="n"/>
      <c r="G34" s="543" t="n"/>
      <c r="H34" s="543" t="n"/>
      <c r="I34" s="574" t="n"/>
      <c r="J34" s="840" t="n"/>
    </row>
    <row r="35" ht="41.25" customHeight="1" s="885">
      <c r="A35" s="575" t="inlineStr">
        <is>
          <t>RM068</t>
        </is>
      </c>
      <c r="B35" s="186" t="inlineStr">
        <is>
          <t>Éléments d'actif et de passif autres que les éléments de hors bilan et les instruments dérivés</t>
        </is>
      </c>
      <c r="C35" s="523" t="n"/>
      <c r="D35" s="523" t="n"/>
      <c r="E35" s="545" t="n"/>
      <c r="F35" s="545" t="n"/>
      <c r="G35" s="545" t="n"/>
      <c r="H35" s="545" t="n"/>
      <c r="I35" s="545" t="n"/>
      <c r="J35" s="840" t="n"/>
    </row>
    <row r="36" ht="24.75" customHeight="1" s="885">
      <c r="A36" s="575" t="inlineStr">
        <is>
          <t>RM069</t>
        </is>
      </c>
      <c r="B36" s="185" t="inlineStr">
        <is>
          <t>Éléments de hors bilan</t>
        </is>
      </c>
      <c r="C36" s="523" t="n"/>
      <c r="D36" s="523" t="n"/>
      <c r="E36" s="545" t="n"/>
      <c r="F36" s="545" t="n"/>
      <c r="G36" s="545" t="n"/>
      <c r="H36" s="545" t="n"/>
      <c r="I36" s="545" t="n"/>
      <c r="J36" s="840" t="n"/>
    </row>
    <row r="37" ht="24.75" customHeight="1" s="885">
      <c r="A37" s="575" t="inlineStr">
        <is>
          <t>RM070</t>
        </is>
      </c>
      <c r="B37" s="185" t="inlineStr">
        <is>
          <t>Dérivés</t>
        </is>
      </c>
      <c r="C37" s="523" t="n"/>
      <c r="D37" s="523" t="n"/>
      <c r="E37" s="545" t="n"/>
      <c r="F37" s="545" t="n"/>
      <c r="G37" s="545" t="n"/>
      <c r="H37" s="545" t="n"/>
      <c r="I37" s="545" t="n"/>
      <c r="J37" s="840" t="n"/>
    </row>
    <row r="38" ht="17.5" customHeight="1" s="885">
      <c r="A38" s="573" t="n"/>
      <c r="B38" s="576" t="n"/>
      <c r="C38" s="576" t="n"/>
      <c r="D38" s="840" t="n"/>
      <c r="E38" s="840" t="n"/>
      <c r="F38" s="840" t="n"/>
      <c r="G38" s="840" t="n"/>
      <c r="H38" s="840" t="n"/>
      <c r="I38" s="840" t="n"/>
      <c r="J38" s="840" t="n"/>
    </row>
    <row r="39" ht="17.5" customHeight="1" s="885">
      <c r="A39" s="573" t="n"/>
      <c r="B39" s="840" t="n"/>
      <c r="C39" s="840" t="n"/>
      <c r="D39" s="840" t="n"/>
      <c r="E39" s="840" t="n"/>
      <c r="F39" s="840" t="n"/>
      <c r="G39" s="840" t="n"/>
      <c r="H39" s="840" t="n"/>
      <c r="I39" s="840" t="n"/>
      <c r="J39" s="840" t="n"/>
    </row>
    <row r="40" ht="18" customHeight="1" s="885">
      <c r="A40" s="736" t="inlineStr">
        <is>
          <t>Poste mémoire - Positions en devise</t>
        </is>
      </c>
      <c r="B40" s="886" t="n"/>
      <c r="C40" s="886" t="n"/>
      <c r="D40" s="886" t="n"/>
      <c r="E40" s="886" t="n"/>
      <c r="F40" s="886" t="n"/>
      <c r="G40" s="886" t="n"/>
      <c r="H40" s="886" t="n"/>
      <c r="I40" s="840" t="n"/>
      <c r="J40" s="840" t="n"/>
    </row>
    <row r="41" ht="17.5" customHeight="1" s="885">
      <c r="A41" s="840" t="n"/>
      <c r="I41" s="840" t="n"/>
      <c r="J41" s="840" t="n"/>
    </row>
    <row r="42" ht="45" customFormat="1" customHeight="1" s="579">
      <c r="A42" s="841" t="inlineStr">
        <is>
          <t>Code DISPRU</t>
        </is>
      </c>
      <c r="B42" s="833" t="inlineStr">
        <is>
          <t>Devises</t>
        </is>
      </c>
      <c r="C42" s="577" t="inlineStr">
        <is>
          <t>Code</t>
        </is>
      </c>
      <c r="D42" s="841" t="inlineStr">
        <is>
          <t>Toutes les positions</t>
        </is>
      </c>
      <c r="E42" s="901" t="n"/>
      <c r="F42" s="841" t="inlineStr">
        <is>
          <t>Positions nettes</t>
        </is>
      </c>
      <c r="G42" s="901" t="n"/>
      <c r="H42" s="543" t="n"/>
      <c r="I42" s="574" t="n"/>
      <c r="J42" s="578" t="n"/>
    </row>
    <row r="43" ht="18" customHeight="1" s="885">
      <c r="A43" s="1002" t="n"/>
      <c r="B43" s="896" t="n"/>
      <c r="C43" s="185" t="n"/>
      <c r="D43" s="841" t="inlineStr">
        <is>
          <t>Longues</t>
        </is>
      </c>
      <c r="E43" s="841" t="inlineStr">
        <is>
          <t>Courtes</t>
        </is>
      </c>
      <c r="F43" s="841" t="inlineStr">
        <is>
          <t>Longues</t>
        </is>
      </c>
      <c r="G43" s="841" t="inlineStr">
        <is>
          <t>Courtes</t>
        </is>
      </c>
      <c r="H43" s="543" t="n"/>
      <c r="I43" s="574" t="n"/>
      <c r="J43" s="840" t="n"/>
    </row>
    <row r="44" ht="18" customHeight="1" s="885">
      <c r="A44" s="841" t="inlineStr">
        <is>
          <t>RM071</t>
        </is>
      </c>
      <c r="B44" s="580" t="inlineStr">
        <is>
          <t>Franc CFA - BCEAO</t>
        </is>
      </c>
      <c r="C44" s="581" t="inlineStr">
        <is>
          <t>XOF</t>
        </is>
      </c>
      <c r="D44" s="523" t="n"/>
      <c r="E44" s="523" t="n"/>
      <c r="F44" s="523" t="n"/>
      <c r="G44" s="523" t="n"/>
      <c r="H44" s="543" t="n"/>
      <c r="I44" s="574" t="n"/>
      <c r="J44" s="840" t="n"/>
    </row>
    <row r="45" ht="18" customHeight="1" s="885">
      <c r="A45" s="841" t="inlineStr">
        <is>
          <t>RM072</t>
        </is>
      </c>
      <c r="B45" s="580" t="inlineStr">
        <is>
          <t>Franc CFA - BEAC Communauté financière africaine</t>
        </is>
      </c>
      <c r="C45" s="581" t="inlineStr">
        <is>
          <t>XAF</t>
        </is>
      </c>
      <c r="D45" s="523" t="n"/>
      <c r="E45" s="523" t="n"/>
      <c r="F45" s="523" t="n"/>
      <c r="G45" s="523" t="n"/>
      <c r="H45" s="543" t="n"/>
      <c r="I45" s="574" t="n"/>
      <c r="J45" s="840" t="n"/>
    </row>
    <row r="46" ht="18" customHeight="1" s="885">
      <c r="A46" s="841" t="inlineStr">
        <is>
          <t>RM073</t>
        </is>
      </c>
      <c r="B46" s="580" t="inlineStr">
        <is>
          <t>Euro</t>
        </is>
      </c>
      <c r="C46" s="581" t="inlineStr">
        <is>
          <t>EUR</t>
        </is>
      </c>
      <c r="D46" s="523" t="n"/>
      <c r="E46" s="523" t="n"/>
      <c r="F46" s="523" t="n"/>
      <c r="G46" s="523" t="n"/>
      <c r="H46" s="543" t="n"/>
      <c r="I46" s="574" t="n"/>
      <c r="J46" s="840" t="n"/>
    </row>
    <row r="47" ht="18" customHeight="1" s="885">
      <c r="A47" s="841" t="inlineStr">
        <is>
          <t>RM074</t>
        </is>
      </c>
      <c r="B47" s="580" t="inlineStr">
        <is>
          <t>Dollar américain</t>
        </is>
      </c>
      <c r="C47" s="581" t="inlineStr">
        <is>
          <t>USD</t>
        </is>
      </c>
      <c r="D47" s="523" t="n"/>
      <c r="E47" s="523" t="n"/>
      <c r="F47" s="523" t="n"/>
      <c r="G47" s="523" t="n"/>
      <c r="H47" s="543" t="n"/>
      <c r="I47" s="574" t="n"/>
      <c r="J47" s="840" t="n"/>
    </row>
    <row r="48" ht="18" customHeight="1" s="885">
      <c r="A48" s="841" t="inlineStr">
        <is>
          <t>RM075</t>
        </is>
      </c>
      <c r="B48" s="580" t="inlineStr">
        <is>
          <t>Rand</t>
        </is>
      </c>
      <c r="C48" s="581" t="inlineStr">
        <is>
          <t>ZAR</t>
        </is>
      </c>
      <c r="D48" s="523" t="n"/>
      <c r="E48" s="523" t="n"/>
      <c r="F48" s="523" t="n"/>
      <c r="G48" s="523" t="n"/>
      <c r="H48" s="543" t="n"/>
      <c r="I48" s="574" t="n"/>
      <c r="J48" s="840" t="n"/>
    </row>
    <row r="49" ht="18" customHeight="1" s="885">
      <c r="A49" s="841" t="inlineStr">
        <is>
          <t>RM076</t>
        </is>
      </c>
      <c r="B49" s="580" t="inlineStr">
        <is>
          <t>Nouvelle livre turque</t>
        </is>
      </c>
      <c r="C49" s="581" t="inlineStr">
        <is>
          <t>TRY</t>
        </is>
      </c>
      <c r="D49" s="523" t="n"/>
      <c r="E49" s="523" t="n"/>
      <c r="F49" s="523" t="n"/>
      <c r="G49" s="523" t="n"/>
      <c r="H49" s="543" t="n"/>
      <c r="I49" s="574" t="n"/>
      <c r="J49" s="840" t="n"/>
    </row>
    <row r="50" ht="18" customHeight="1" s="885">
      <c r="A50" s="841" t="inlineStr">
        <is>
          <t>RM077</t>
        </is>
      </c>
      <c r="B50" s="580" t="inlineStr">
        <is>
          <t>Dinar tunisien</t>
        </is>
      </c>
      <c r="C50" s="581" t="inlineStr">
        <is>
          <t>TND</t>
        </is>
      </c>
      <c r="D50" s="523" t="n"/>
      <c r="E50" s="523" t="n"/>
      <c r="F50" s="523" t="n"/>
      <c r="G50" s="523" t="n"/>
      <c r="H50" s="543" t="n"/>
      <c r="I50" s="574" t="n"/>
      <c r="J50" s="840" t="n"/>
    </row>
    <row r="51" ht="18" customHeight="1" s="885">
      <c r="A51" s="841" t="inlineStr">
        <is>
          <t>RM078</t>
        </is>
      </c>
      <c r="B51" s="580" t="inlineStr">
        <is>
          <t>Riyal saoudien</t>
        </is>
      </c>
      <c r="C51" s="581" t="inlineStr">
        <is>
          <t>SAR</t>
        </is>
      </c>
      <c r="D51" s="523" t="n"/>
      <c r="E51" s="523" t="n"/>
      <c r="F51" s="523" t="n"/>
      <c r="G51" s="523" t="n"/>
      <c r="H51" s="543" t="n"/>
      <c r="I51" s="574" t="n"/>
      <c r="J51" s="840" t="n"/>
    </row>
    <row r="52" ht="18" customHeight="1" s="885">
      <c r="A52" s="841" t="inlineStr">
        <is>
          <t>RM079</t>
        </is>
      </c>
      <c r="B52" s="580" t="inlineStr">
        <is>
          <t>Franc rwandais</t>
        </is>
      </c>
      <c r="C52" s="581" t="inlineStr">
        <is>
          <t>RWF</t>
        </is>
      </c>
      <c r="D52" s="523" t="n"/>
      <c r="E52" s="523" t="n"/>
      <c r="F52" s="523" t="n"/>
      <c r="G52" s="523" t="n"/>
      <c r="H52" s="543" t="n"/>
      <c r="I52" s="574" t="n"/>
      <c r="J52" s="840" t="n"/>
    </row>
    <row r="53" ht="18" customHeight="1" s="885">
      <c r="A53" s="841" t="inlineStr">
        <is>
          <t>RM080</t>
        </is>
      </c>
      <c r="B53" s="580" t="inlineStr">
        <is>
          <t>Rouble russe</t>
        </is>
      </c>
      <c r="C53" s="581" t="inlineStr">
        <is>
          <t>RUB</t>
        </is>
      </c>
      <c r="D53" s="523" t="n"/>
      <c r="E53" s="523" t="n"/>
      <c r="F53" s="523" t="n"/>
      <c r="G53" s="523" t="n"/>
      <c r="H53" s="543" t="n"/>
      <c r="I53" s="574" t="n"/>
      <c r="J53" s="840" t="n"/>
    </row>
    <row r="54" ht="18" customHeight="1" s="885">
      <c r="A54" s="841" t="inlineStr">
        <is>
          <t>RM081</t>
        </is>
      </c>
      <c r="B54" s="580" t="inlineStr">
        <is>
          <t>Naira</t>
        </is>
      </c>
      <c r="C54" s="581" t="inlineStr">
        <is>
          <t>NGN</t>
        </is>
      </c>
      <c r="D54" s="523" t="n"/>
      <c r="E54" s="523" t="n"/>
      <c r="F54" s="523" t="n"/>
      <c r="G54" s="523" t="n"/>
      <c r="H54" s="543" t="n"/>
      <c r="I54" s="574" t="n"/>
      <c r="J54" s="840" t="n"/>
    </row>
    <row r="55" ht="18" customHeight="1" s="885">
      <c r="A55" s="841" t="inlineStr">
        <is>
          <t>RM082</t>
        </is>
      </c>
      <c r="B55" s="580" t="inlineStr">
        <is>
          <t>Ouguiya</t>
        </is>
      </c>
      <c r="C55" s="581" t="inlineStr">
        <is>
          <t>MRO</t>
        </is>
      </c>
      <c r="D55" s="523" t="n"/>
      <c r="E55" s="523" t="n"/>
      <c r="F55" s="523" t="n"/>
      <c r="G55" s="523" t="n"/>
      <c r="H55" s="543" t="n"/>
      <c r="I55" s="574" t="n"/>
      <c r="J55" s="840" t="n"/>
    </row>
    <row r="56" ht="18" customHeight="1" s="885">
      <c r="A56" s="841" t="inlineStr">
        <is>
          <t>RM083</t>
        </is>
      </c>
      <c r="B56" s="580" t="inlineStr">
        <is>
          <t>Dirham marocain</t>
        </is>
      </c>
      <c r="C56" s="581" t="inlineStr">
        <is>
          <t>MAD</t>
        </is>
      </c>
      <c r="D56" s="523" t="n"/>
      <c r="E56" s="523" t="n"/>
      <c r="F56" s="523" t="n"/>
      <c r="G56" s="523" t="n"/>
      <c r="H56" s="543" t="n"/>
      <c r="I56" s="574" t="n"/>
      <c r="J56" s="840" t="n"/>
    </row>
    <row r="57" ht="18" customHeight="1" s="885">
      <c r="A57" s="841" t="inlineStr">
        <is>
          <t>RM084</t>
        </is>
      </c>
      <c r="B57" s="580" t="inlineStr">
        <is>
          <t>Dollar libérien</t>
        </is>
      </c>
      <c r="C57" s="581" t="inlineStr">
        <is>
          <t>LRD</t>
        </is>
      </c>
      <c r="D57" s="523" t="n"/>
      <c r="E57" s="523" t="n"/>
      <c r="F57" s="523" t="n"/>
      <c r="G57" s="523" t="n"/>
      <c r="H57" s="543" t="n"/>
      <c r="I57" s="574" t="n"/>
      <c r="J57" s="840" t="n"/>
    </row>
    <row r="58" ht="18" customHeight="1" s="885">
      <c r="A58" s="841" t="inlineStr">
        <is>
          <t>RM085</t>
        </is>
      </c>
      <c r="B58" s="580" t="inlineStr">
        <is>
          <t>Livre libanaise</t>
        </is>
      </c>
      <c r="C58" s="581" t="inlineStr">
        <is>
          <t>LBP</t>
        </is>
      </c>
      <c r="D58" s="523" t="n"/>
      <c r="E58" s="523" t="n"/>
      <c r="F58" s="523" t="n"/>
      <c r="G58" s="523" t="n"/>
      <c r="H58" s="543" t="n"/>
      <c r="I58" s="574" t="n"/>
      <c r="J58" s="840" t="n"/>
    </row>
    <row r="59" ht="18" customHeight="1" s="885">
      <c r="A59" s="841" t="inlineStr">
        <is>
          <t>RM086</t>
        </is>
      </c>
      <c r="B59" s="580" t="inlineStr">
        <is>
          <t>Dinar koweïtien</t>
        </is>
      </c>
      <c r="C59" s="581" t="inlineStr">
        <is>
          <t>KWD</t>
        </is>
      </c>
      <c r="D59" s="523" t="n"/>
      <c r="E59" s="523" t="n"/>
      <c r="F59" s="523" t="n"/>
      <c r="G59" s="523" t="n"/>
      <c r="H59" s="543" t="n"/>
      <c r="I59" s="574" t="n"/>
      <c r="J59" s="840" t="n"/>
    </row>
    <row r="60" ht="18" customHeight="1" s="885">
      <c r="A60" s="841" t="inlineStr">
        <is>
          <t>RM087</t>
        </is>
      </c>
      <c r="B60" s="580" t="inlineStr">
        <is>
          <t>Shilling du Kenya</t>
        </is>
      </c>
      <c r="C60" s="581" t="inlineStr">
        <is>
          <t>KES</t>
        </is>
      </c>
      <c r="D60" s="523" t="n"/>
      <c r="E60" s="523" t="n"/>
      <c r="F60" s="523" t="n"/>
      <c r="G60" s="523" t="n"/>
      <c r="H60" s="543" t="n"/>
      <c r="I60" s="574" t="n"/>
      <c r="J60" s="840" t="n"/>
    </row>
    <row r="61" ht="18" customHeight="1" s="885">
      <c r="A61" s="841" t="inlineStr">
        <is>
          <t>RM088</t>
        </is>
      </c>
      <c r="B61" s="580" t="inlineStr">
        <is>
          <t>Yen</t>
        </is>
      </c>
      <c r="C61" s="581" t="inlineStr">
        <is>
          <t>JPY</t>
        </is>
      </c>
      <c r="D61" s="523" t="n"/>
      <c r="E61" s="523" t="n"/>
      <c r="F61" s="523" t="n"/>
      <c r="G61" s="523" t="n"/>
      <c r="H61" s="543" t="n"/>
      <c r="I61" s="574" t="n"/>
      <c r="J61" s="840" t="n"/>
    </row>
    <row r="62" ht="18" customHeight="1" s="885">
      <c r="A62" s="841" t="inlineStr">
        <is>
          <t>RM089</t>
        </is>
      </c>
      <c r="B62" s="580" t="inlineStr">
        <is>
          <t>Roupie indienne</t>
        </is>
      </c>
      <c r="C62" s="581" t="inlineStr">
        <is>
          <t>INR</t>
        </is>
      </c>
      <c r="D62" s="523" t="n"/>
      <c r="E62" s="523" t="n"/>
      <c r="F62" s="523" t="n"/>
      <c r="G62" s="523" t="n"/>
      <c r="H62" s="543" t="n"/>
      <c r="I62" s="574" t="n"/>
      <c r="J62" s="840" t="n"/>
    </row>
    <row r="63" ht="18" customHeight="1" s="885">
      <c r="A63" s="841" t="inlineStr">
        <is>
          <t>RM090</t>
        </is>
      </c>
      <c r="B63" s="580" t="inlineStr">
        <is>
          <t>Dollar de Hong-Kong</t>
        </is>
      </c>
      <c r="C63" s="581" t="inlineStr">
        <is>
          <t>HKD</t>
        </is>
      </c>
      <c r="D63" s="523" t="n"/>
      <c r="E63" s="523" t="n"/>
      <c r="F63" s="523" t="n"/>
      <c r="G63" s="523" t="n"/>
      <c r="H63" s="543" t="n"/>
      <c r="I63" s="574" t="n"/>
      <c r="J63" s="840" t="n"/>
    </row>
    <row r="64" ht="18" customHeight="1" s="885">
      <c r="A64" s="841" t="inlineStr">
        <is>
          <t>RM091</t>
        </is>
      </c>
      <c r="B64" s="580" t="inlineStr">
        <is>
          <t>Franc guinéen</t>
        </is>
      </c>
      <c r="C64" s="581" t="inlineStr">
        <is>
          <t>GNF</t>
        </is>
      </c>
      <c r="D64" s="523" t="n"/>
      <c r="E64" s="523" t="n"/>
      <c r="F64" s="523" t="n"/>
      <c r="G64" s="523" t="n"/>
      <c r="H64" s="543" t="n"/>
      <c r="I64" s="574" t="n"/>
      <c r="J64" s="840" t="n"/>
    </row>
    <row r="65" ht="18" customHeight="1" s="885">
      <c r="A65" s="841" t="inlineStr">
        <is>
          <t>RM092</t>
        </is>
      </c>
      <c r="B65" s="580" t="inlineStr">
        <is>
          <t>Dalasi</t>
        </is>
      </c>
      <c r="C65" s="581" t="inlineStr">
        <is>
          <t>GMD</t>
        </is>
      </c>
      <c r="D65" s="523" t="n"/>
      <c r="E65" s="523" t="n"/>
      <c r="F65" s="523" t="n"/>
      <c r="G65" s="523" t="n"/>
      <c r="H65" s="545" t="n"/>
      <c r="I65" s="545" t="n"/>
      <c r="J65" s="840" t="n"/>
    </row>
    <row r="66" ht="18" customHeight="1" s="885">
      <c r="A66" s="841" t="inlineStr">
        <is>
          <t>RM093</t>
        </is>
      </c>
      <c r="B66" s="580" t="inlineStr">
        <is>
          <t>Cedi ghanéen</t>
        </is>
      </c>
      <c r="C66" s="581" t="inlineStr">
        <is>
          <t>GHS</t>
        </is>
      </c>
      <c r="D66" s="523" t="n"/>
      <c r="E66" s="523" t="n"/>
      <c r="F66" s="523" t="n"/>
      <c r="G66" s="523" t="n"/>
      <c r="H66" s="545" t="n"/>
      <c r="I66" s="545" t="n"/>
      <c r="J66" s="840" t="n"/>
    </row>
    <row r="67" ht="18" customHeight="1" s="885">
      <c r="A67" s="841" t="inlineStr">
        <is>
          <t>RM094</t>
        </is>
      </c>
      <c r="B67" s="580" t="inlineStr">
        <is>
          <t>Livre sterling</t>
        </is>
      </c>
      <c r="C67" s="581" t="inlineStr">
        <is>
          <t>GBP</t>
        </is>
      </c>
      <c r="D67" s="523" t="n"/>
      <c r="E67" s="523" t="n"/>
      <c r="F67" s="523" t="n"/>
      <c r="G67" s="523" t="n"/>
      <c r="H67" s="545" t="n"/>
      <c r="I67" s="545" t="n"/>
      <c r="J67" s="840" t="n"/>
    </row>
    <row r="68" ht="18" customHeight="1" s="885">
      <c r="A68" s="841" t="inlineStr">
        <is>
          <t>RM095</t>
        </is>
      </c>
      <c r="B68" s="580" t="inlineStr">
        <is>
          <t>Livre égyptienne</t>
        </is>
      </c>
      <c r="C68" s="581" t="inlineStr">
        <is>
          <t>EGP</t>
        </is>
      </c>
      <c r="D68" s="523" t="n"/>
      <c r="E68" s="523" t="n"/>
      <c r="F68" s="523" t="n"/>
      <c r="G68" s="523" t="n"/>
      <c r="H68" s="840" t="n"/>
      <c r="I68" s="840" t="n"/>
      <c r="J68" s="840" t="n"/>
    </row>
    <row r="69" ht="18" customHeight="1" s="885">
      <c r="A69" s="841" t="inlineStr">
        <is>
          <t>RM096</t>
        </is>
      </c>
      <c r="B69" s="580" t="inlineStr">
        <is>
          <t>Dinar algérien</t>
        </is>
      </c>
      <c r="C69" s="581" t="inlineStr">
        <is>
          <t>DZD</t>
        </is>
      </c>
      <c r="D69" s="523" t="n"/>
      <c r="E69" s="523" t="n"/>
      <c r="F69" s="523" t="n"/>
      <c r="G69" s="523" t="n"/>
      <c r="H69" s="840" t="n"/>
      <c r="I69" s="840" t="n"/>
      <c r="J69" s="840" t="n"/>
    </row>
    <row r="70" ht="18" customHeight="1" s="885">
      <c r="A70" s="841" t="inlineStr">
        <is>
          <t>RM097</t>
        </is>
      </c>
      <c r="B70" s="580" t="inlineStr">
        <is>
          <t>Escudo du Cap-Vert</t>
        </is>
      </c>
      <c r="C70" s="581" t="inlineStr">
        <is>
          <t>CVE</t>
        </is>
      </c>
      <c r="D70" s="523" t="n"/>
      <c r="E70" s="523" t="n"/>
      <c r="F70" s="523" t="n"/>
      <c r="G70" s="523" t="n"/>
      <c r="H70" s="840" t="n"/>
      <c r="I70" s="840" t="n"/>
      <c r="J70" s="840" t="n"/>
    </row>
    <row r="71" ht="18" customHeight="1" s="885">
      <c r="A71" s="841" t="inlineStr">
        <is>
          <t>RM098</t>
        </is>
      </c>
      <c r="B71" s="580" t="inlineStr">
        <is>
          <t>Yuan (Renminbi)</t>
        </is>
      </c>
      <c r="C71" s="581" t="inlineStr">
        <is>
          <t>CNY</t>
        </is>
      </c>
      <c r="D71" s="523" t="n"/>
      <c r="E71" s="523" t="n"/>
      <c r="F71" s="523" t="n"/>
      <c r="G71" s="523" t="n"/>
      <c r="H71" s="840" t="n"/>
      <c r="I71" s="840" t="n"/>
      <c r="J71" s="840" t="n"/>
    </row>
    <row r="72" ht="18" customHeight="1" s="885">
      <c r="A72" s="841" t="inlineStr">
        <is>
          <t>RM099</t>
        </is>
      </c>
      <c r="B72" s="580" t="inlineStr">
        <is>
          <t>WIR Franc</t>
        </is>
      </c>
      <c r="C72" s="581" t="inlineStr">
        <is>
          <t>CHW</t>
        </is>
      </c>
      <c r="D72" s="523" t="n"/>
      <c r="E72" s="523" t="n"/>
      <c r="F72" s="523" t="n"/>
      <c r="G72" s="523" t="n"/>
      <c r="H72" s="840" t="n"/>
      <c r="I72" s="840" t="n"/>
      <c r="J72" s="840" t="n"/>
    </row>
    <row r="73" ht="18" customHeight="1" s="885">
      <c r="A73" s="841" t="inlineStr">
        <is>
          <t>RM100</t>
        </is>
      </c>
      <c r="B73" s="580" t="inlineStr">
        <is>
          <t>Franc suisse</t>
        </is>
      </c>
      <c r="C73" s="581" t="inlineStr">
        <is>
          <t>CHF</t>
        </is>
      </c>
      <c r="D73" s="523" t="n"/>
      <c r="E73" s="523" t="n"/>
      <c r="F73" s="523" t="n"/>
      <c r="G73" s="523" t="n"/>
      <c r="H73" s="840" t="n"/>
      <c r="I73" s="840" t="n"/>
      <c r="J73" s="840" t="n"/>
    </row>
    <row r="74" ht="18" customHeight="1" s="885">
      <c r="A74" s="841" t="inlineStr">
        <is>
          <t>RM101</t>
        </is>
      </c>
      <c r="B74" s="580" t="inlineStr">
        <is>
          <t>Franc congolais</t>
        </is>
      </c>
      <c r="C74" s="581" t="inlineStr">
        <is>
          <t>CDF</t>
        </is>
      </c>
      <c r="D74" s="523" t="n"/>
      <c r="E74" s="523" t="n"/>
      <c r="F74" s="523" t="n"/>
      <c r="G74" s="523" t="n"/>
      <c r="H74" s="840" t="n"/>
      <c r="I74" s="840" t="n"/>
      <c r="J74" s="840" t="n"/>
    </row>
    <row r="75" ht="18" customHeight="1" s="885">
      <c r="A75" s="841" t="inlineStr">
        <is>
          <t>RM102</t>
        </is>
      </c>
      <c r="B75" s="580" t="inlineStr">
        <is>
          <t>Dollar canadien</t>
        </is>
      </c>
      <c r="C75" s="581" t="inlineStr">
        <is>
          <t>CAD</t>
        </is>
      </c>
      <c r="D75" s="523" t="n"/>
      <c r="E75" s="523" t="n"/>
      <c r="F75" s="523" t="n"/>
      <c r="G75" s="523" t="n"/>
      <c r="H75" s="840" t="n"/>
      <c r="I75" s="840" t="n"/>
      <c r="J75" s="840" t="n"/>
    </row>
    <row r="76" ht="18" customHeight="1" s="885">
      <c r="A76" s="841" t="inlineStr">
        <is>
          <t>RM103</t>
        </is>
      </c>
      <c r="B76" s="580" t="inlineStr">
        <is>
          <t>Pula</t>
        </is>
      </c>
      <c r="C76" s="581" t="inlineStr">
        <is>
          <t>BWP</t>
        </is>
      </c>
      <c r="D76" s="523" t="n"/>
      <c r="E76" s="523" t="n"/>
      <c r="F76" s="523" t="n"/>
      <c r="G76" s="523" t="n"/>
      <c r="H76" s="840" t="n"/>
      <c r="I76" s="840" t="n"/>
      <c r="J76" s="840" t="n"/>
    </row>
    <row r="77" ht="18" customHeight="1" s="885">
      <c r="A77" s="841" t="inlineStr">
        <is>
          <t>RM104</t>
        </is>
      </c>
      <c r="B77" s="580" t="inlineStr">
        <is>
          <t>Réal brésilien</t>
        </is>
      </c>
      <c r="C77" s="581" t="inlineStr">
        <is>
          <t>BRL</t>
        </is>
      </c>
      <c r="D77" s="523" t="n"/>
      <c r="E77" s="523" t="n"/>
      <c r="F77" s="523" t="n"/>
      <c r="G77" s="523" t="n"/>
      <c r="H77" s="840" t="n"/>
      <c r="I77" s="840" t="n"/>
      <c r="J77" s="840" t="n"/>
    </row>
    <row r="78" ht="18" customHeight="1" s="885">
      <c r="A78" s="841" t="inlineStr">
        <is>
          <t>RM105</t>
        </is>
      </c>
      <c r="B78" s="580" t="inlineStr">
        <is>
          <t>Franc du Burundi</t>
        </is>
      </c>
      <c r="C78" s="581" t="inlineStr">
        <is>
          <t>BIF</t>
        </is>
      </c>
      <c r="D78" s="523" t="n"/>
      <c r="E78" s="523" t="n"/>
      <c r="F78" s="523" t="n"/>
      <c r="G78" s="523" t="n"/>
      <c r="H78" s="840" t="n"/>
      <c r="I78" s="840" t="n"/>
      <c r="J78" s="840" t="n"/>
    </row>
    <row r="79" ht="18" customHeight="1" s="885">
      <c r="A79" s="841" t="inlineStr">
        <is>
          <t>RM106</t>
        </is>
      </c>
      <c r="B79" s="580" t="inlineStr">
        <is>
          <t>Dollar australien</t>
        </is>
      </c>
      <c r="C79" s="581" t="inlineStr">
        <is>
          <t>AUD</t>
        </is>
      </c>
      <c r="D79" s="523" t="n"/>
      <c r="E79" s="523" t="n"/>
      <c r="F79" s="523" t="n"/>
      <c r="G79" s="523" t="n"/>
      <c r="H79" s="840" t="n"/>
      <c r="I79" s="840" t="n"/>
      <c r="J79" s="840" t="n"/>
    </row>
    <row r="80" ht="18" customHeight="1" s="885">
      <c r="A80" s="841" t="inlineStr">
        <is>
          <t>RM107</t>
        </is>
      </c>
      <c r="B80" s="580" t="inlineStr">
        <is>
          <t>Kwanza</t>
        </is>
      </c>
      <c r="C80" s="581" t="inlineStr">
        <is>
          <t>AOA</t>
        </is>
      </c>
      <c r="D80" s="523" t="n"/>
      <c r="E80" s="523" t="n"/>
      <c r="F80" s="523" t="n"/>
      <c r="G80" s="523" t="n"/>
      <c r="H80" s="840" t="n"/>
      <c r="I80" s="840" t="n"/>
      <c r="J80" s="840" t="n"/>
    </row>
    <row r="81" ht="18" customHeight="1" s="885">
      <c r="A81" s="841" t="inlineStr">
        <is>
          <t>RM108</t>
        </is>
      </c>
      <c r="B81" s="580" t="inlineStr">
        <is>
          <t>Dirham des AE</t>
        </is>
      </c>
      <c r="C81" s="581" t="inlineStr">
        <is>
          <t>AED</t>
        </is>
      </c>
      <c r="D81" s="523" t="n"/>
      <c r="E81" s="523" t="n"/>
      <c r="F81" s="523" t="n"/>
      <c r="G81" s="523" t="n"/>
      <c r="H81" s="840" t="n"/>
      <c r="I81" s="840" t="n"/>
      <c r="J81" s="840" t="n"/>
    </row>
    <row r="82" ht="18" customHeight="1" s="885">
      <c r="A82" s="841" t="inlineStr">
        <is>
          <t>RM109</t>
        </is>
      </c>
      <c r="B82" s="580" t="inlineStr">
        <is>
          <t>Autres devises</t>
        </is>
      </c>
      <c r="C82" s="581" t="n"/>
      <c r="D82" s="523" t="n"/>
      <c r="E82" s="523" t="n"/>
      <c r="F82" s="523" t="n"/>
      <c r="G82" s="523" t="n"/>
      <c r="H82" s="840" t="n"/>
      <c r="I82" s="840" t="n"/>
      <c r="J82" s="840" t="n"/>
    </row>
    <row r="83" ht="17.5" customHeight="1" s="885">
      <c r="B83" s="582" t="n"/>
      <c r="C83" s="582" t="n"/>
    </row>
    <row r="84" ht="17.5" customHeight="1" s="885">
      <c r="B84" s="550" t="n"/>
      <c r="C84" s="550" t="n"/>
    </row>
    <row r="85" ht="17.5" customHeight="1" s="885">
      <c r="B85" s="550" t="n"/>
      <c r="C85" s="550" t="n"/>
    </row>
    <row r="86" ht="17.5" customHeight="1" s="885">
      <c r="B86" s="550" t="n"/>
      <c r="C86" s="550" t="n"/>
    </row>
    <row r="87" ht="17.5" customHeight="1" s="885">
      <c r="B87" s="550" t="n"/>
      <c r="C87" s="550" t="n"/>
    </row>
    <row r="88" ht="17.5" customHeight="1" s="885">
      <c r="B88" s="550" t="n"/>
      <c r="C88" s="550" t="n"/>
    </row>
    <row r="89" ht="17.5" customHeight="1" s="885">
      <c r="B89" s="550" t="n"/>
      <c r="C89" s="550" t="n"/>
    </row>
    <row r="90" ht="17.5" customHeight="1" s="885">
      <c r="B90" s="550" t="n"/>
      <c r="C90" s="550" t="n"/>
    </row>
    <row r="91" ht="17.5" customHeight="1" s="885">
      <c r="B91" s="550" t="n"/>
      <c r="C91" s="550" t="n"/>
    </row>
    <row r="92" ht="17.5" customHeight="1" s="885">
      <c r="B92" s="550" t="n"/>
      <c r="C92" s="550" t="n"/>
    </row>
    <row r="93" ht="17.5" customHeight="1" s="885">
      <c r="B93" s="550" t="n"/>
      <c r="C93" s="550" t="n"/>
    </row>
    <row r="94" ht="17.5" customHeight="1" s="885">
      <c r="B94" s="550" t="n"/>
      <c r="C94" s="550" t="n"/>
    </row>
    <row r="95" ht="17.5" customHeight="1" s="885">
      <c r="B95" s="550" t="n"/>
      <c r="C95" s="550" t="n"/>
    </row>
    <row r="96" ht="17.5" customHeight="1" s="885">
      <c r="B96" s="550" t="n"/>
      <c r="C96" s="550" t="n"/>
    </row>
    <row r="97" ht="17.5" customFormat="1" customHeight="1" s="550">
      <c r="A97" s="547" t="n"/>
    </row>
    <row r="98" ht="17.5" customFormat="1" customHeight="1" s="550">
      <c r="A98" s="547" t="n"/>
    </row>
    <row r="99" ht="17.5" customFormat="1" customHeight="1" s="550">
      <c r="A99" s="547" t="n"/>
    </row>
    <row r="100" ht="17.5" customFormat="1" customHeight="1" s="550">
      <c r="A100" s="547" t="n"/>
    </row>
    <row r="101" ht="17.5" customFormat="1" customHeight="1" s="550">
      <c r="A101" s="547" t="n"/>
    </row>
    <row r="102" ht="17.5" customFormat="1" customHeight="1" s="550">
      <c r="A102" s="547" t="n"/>
    </row>
    <row r="103" ht="17.5" customFormat="1" customHeight="1" s="550">
      <c r="A103" s="547" t="n"/>
    </row>
    <row r="104" ht="17.5" customFormat="1" customHeight="1" s="550">
      <c r="A104" s="547" t="n"/>
    </row>
    <row r="105" ht="17.5" customFormat="1" customHeight="1" s="550">
      <c r="A105" s="547" t="n"/>
    </row>
    <row r="106" ht="17.5" customFormat="1" customHeight="1" s="550">
      <c r="A106" s="547" t="n"/>
    </row>
    <row r="107" ht="17.5" customFormat="1" customHeight="1" s="550">
      <c r="A107" s="547" t="n"/>
    </row>
    <row r="108" ht="17.5" customFormat="1" customHeight="1" s="550">
      <c r="A108" s="547" t="n"/>
    </row>
    <row r="109" ht="17.5" customFormat="1" customHeight="1" s="550">
      <c r="A109" s="547" t="n"/>
    </row>
    <row r="110" ht="17.5" customFormat="1" customHeight="1" s="550">
      <c r="A110" s="547" t="n"/>
    </row>
    <row r="111" ht="17.5" customFormat="1" customHeight="1" s="550">
      <c r="A111" s="547" t="n"/>
    </row>
    <row r="112" ht="17.5" customFormat="1" customHeight="1" s="550">
      <c r="A112" s="547" t="n"/>
    </row>
    <row r="113" ht="17.5" customFormat="1" customHeight="1" s="550">
      <c r="A113" s="547" t="n"/>
    </row>
    <row r="114" ht="17.5" customFormat="1" customHeight="1" s="550">
      <c r="A114" s="547" t="n"/>
    </row>
    <row r="115" ht="17.5" customFormat="1" customHeight="1" s="550">
      <c r="A115" s="547" t="n"/>
    </row>
    <row r="116" ht="17.5" customFormat="1" customHeight="1" s="550">
      <c r="A116" s="547" t="n"/>
    </row>
    <row r="117" ht="17.5" customFormat="1" customHeight="1" s="550">
      <c r="A117" s="547" t="n"/>
    </row>
    <row r="118" ht="17.5" customFormat="1" customHeight="1" s="550">
      <c r="A118" s="547" t="n"/>
    </row>
    <row r="119" ht="17.5" customFormat="1" customHeight="1" s="550">
      <c r="A119" s="547" t="n"/>
    </row>
    <row r="120" ht="17.5" customFormat="1" customHeight="1" s="550">
      <c r="A120" s="547" t="n"/>
    </row>
    <row r="121" ht="17.5" customFormat="1" customHeight="1" s="550">
      <c r="A121" s="547" t="n"/>
    </row>
    <row r="122" ht="17.5" customFormat="1" customHeight="1" s="550">
      <c r="A122" s="547" t="n"/>
    </row>
    <row r="123" ht="17.5" customFormat="1" customHeight="1" s="550">
      <c r="A123" s="547" t="n"/>
    </row>
    <row r="124" ht="17.5" customFormat="1" customHeight="1" s="550">
      <c r="A124" s="547" t="n"/>
    </row>
    <row r="125" ht="17.5" customFormat="1" customHeight="1" s="550">
      <c r="A125" s="547" t="n"/>
    </row>
    <row r="126" ht="17.5" customFormat="1" customHeight="1" s="550">
      <c r="A126" s="547" t="n"/>
    </row>
    <row r="127" ht="17.5" customFormat="1" customHeight="1" s="550">
      <c r="A127" s="547" t="n"/>
    </row>
    <row r="128" ht="17.5" customFormat="1" customHeight="1" s="550">
      <c r="A128" s="547" t="n"/>
    </row>
    <row r="129" ht="17.5" customFormat="1" customHeight="1" s="550">
      <c r="A129" s="547" t="n"/>
    </row>
    <row r="130" ht="17.5" customFormat="1" customHeight="1" s="550">
      <c r="A130" s="547" t="n"/>
    </row>
    <row r="131" ht="17.5" customFormat="1" customHeight="1" s="550">
      <c r="A131" s="547" t="n"/>
    </row>
    <row r="132" ht="17.5" customFormat="1" customHeight="1" s="550">
      <c r="A132" s="547" t="n"/>
    </row>
    <row r="133" ht="17.5" customFormat="1" customHeight="1" s="550">
      <c r="A133" s="547" t="n"/>
    </row>
    <row r="134" ht="17.5" customFormat="1" customHeight="1" s="550">
      <c r="A134" s="547" t="n"/>
    </row>
    <row r="135" ht="17.5" customFormat="1" customHeight="1" s="550">
      <c r="A135" s="547" t="n"/>
    </row>
    <row r="136" ht="17.5" customFormat="1" customHeight="1" s="550">
      <c r="A136" s="547" t="n"/>
    </row>
    <row r="137" ht="17.5" customFormat="1" customHeight="1" s="550">
      <c r="A137" s="547" t="n"/>
    </row>
    <row r="138" ht="17.5" customFormat="1" customHeight="1" s="550">
      <c r="A138" s="547" t="n"/>
    </row>
    <row r="139" ht="17.5" customFormat="1" customHeight="1" s="550">
      <c r="A139" s="547" t="n"/>
    </row>
    <row r="140" ht="17.5" customFormat="1" customHeight="1" s="550">
      <c r="A140" s="547" t="n"/>
    </row>
    <row r="141" ht="17.5" customFormat="1" customHeight="1" s="550">
      <c r="A141" s="547" t="n"/>
    </row>
    <row r="142" ht="17.5" customFormat="1" customHeight="1" s="550">
      <c r="A142" s="547" t="n"/>
    </row>
    <row r="143" ht="17.5" customFormat="1" customHeight="1" s="550">
      <c r="A143" s="547" t="n"/>
    </row>
    <row r="144" ht="17.5" customFormat="1" customHeight="1" s="550">
      <c r="A144" s="547" t="n"/>
    </row>
    <row r="145" ht="17.5" customFormat="1" customHeight="1" s="550">
      <c r="A145" s="547" t="n"/>
    </row>
    <row r="146" ht="17.5" customFormat="1" customHeight="1" s="550">
      <c r="A146" s="547" t="n"/>
    </row>
    <row r="147" ht="17.5" customFormat="1" customHeight="1" s="550">
      <c r="A147" s="547" t="n"/>
    </row>
    <row r="148" ht="17.5" customFormat="1" customHeight="1" s="550">
      <c r="A148" s="547" t="n"/>
    </row>
    <row r="149" ht="17.5" customFormat="1" customHeight="1" s="550">
      <c r="A149" s="547" t="n"/>
    </row>
    <row r="150" ht="17.5" customFormat="1" customHeight="1" s="550">
      <c r="A150" s="547" t="n"/>
    </row>
    <row r="151" ht="17.5" customFormat="1" customHeight="1" s="550">
      <c r="A151" s="547" t="n"/>
    </row>
    <row r="152" ht="17.5" customFormat="1" customHeight="1" s="550">
      <c r="A152" s="547" t="n"/>
    </row>
    <row r="153" ht="17.5" customFormat="1" customHeight="1" s="550">
      <c r="A153" s="547" t="n"/>
    </row>
    <row r="154" ht="17.5" customFormat="1" customHeight="1" s="550">
      <c r="A154" s="547" t="n"/>
    </row>
    <row r="155" ht="17.5" customFormat="1" customHeight="1" s="550">
      <c r="A155" s="547" t="n"/>
    </row>
    <row r="156" ht="17.5" customFormat="1" customHeight="1" s="550">
      <c r="A156" s="547" t="n"/>
    </row>
    <row r="157" ht="17.5" customFormat="1" customHeight="1" s="550">
      <c r="A157" s="547" t="n"/>
    </row>
    <row r="158" ht="17.5" customFormat="1" customHeight="1" s="550">
      <c r="A158" s="547" t="n"/>
    </row>
    <row r="159" ht="17.5" customFormat="1" customHeight="1" s="550">
      <c r="A159" s="547" t="n"/>
    </row>
    <row r="160" ht="17.5" customFormat="1" customHeight="1" s="550">
      <c r="A160" s="547" t="n"/>
    </row>
    <row r="161" ht="17.5" customFormat="1" customHeight="1" s="550">
      <c r="A161" s="547" t="n"/>
    </row>
    <row r="162" ht="17.5" customFormat="1" customHeight="1" s="550">
      <c r="A162" s="547" t="n"/>
    </row>
    <row r="163" ht="17.5" customFormat="1" customHeight="1" s="550">
      <c r="A163" s="547" t="n"/>
    </row>
    <row r="164" ht="17.5" customFormat="1" customHeight="1" s="550">
      <c r="A164" s="54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gUIyFcfaCbFHFt5lZIOGg==" formatRows="1" sort="1" spinCount="100000" hashValue="KyJJb+cpB2Nkd5+n7FFKtMYqWCdqCUoBzXuI/OvygfFOhrYboSLARK3BxW2J3b1HJ9R0m19VQqlztJTdJ/MhhA=="/>
  <mergeCells count="35">
    <mergeCell ref="C23:I23"/>
    <mergeCell ref="A22:J22"/>
    <mergeCell ref="C33:D33"/>
    <mergeCell ref="B17:B18"/>
    <mergeCell ref="B42:B43"/>
    <mergeCell ref="C26:C27"/>
    <mergeCell ref="C19:I19"/>
    <mergeCell ref="A16:B16"/>
    <mergeCell ref="G9:H9"/>
    <mergeCell ref="A25:B25"/>
    <mergeCell ref="A26:A27"/>
    <mergeCell ref="A41:H41"/>
    <mergeCell ref="F42:G42"/>
    <mergeCell ref="C9:D9"/>
    <mergeCell ref="E9:F9"/>
    <mergeCell ref="B9:B10"/>
    <mergeCell ref="A17:A18"/>
    <mergeCell ref="A42:A43"/>
    <mergeCell ref="A13:I13"/>
    <mergeCell ref="C17:I18"/>
    <mergeCell ref="A33:A34"/>
    <mergeCell ref="C20:I20"/>
    <mergeCell ref="B33:B34"/>
    <mergeCell ref="A32:H32"/>
    <mergeCell ref="A24:I24"/>
    <mergeCell ref="D42:E42"/>
    <mergeCell ref="J17:J18"/>
    <mergeCell ref="A9:A10"/>
    <mergeCell ref="D26:D27"/>
    <mergeCell ref="C21:I21"/>
    <mergeCell ref="A28:B28"/>
    <mergeCell ref="A1:I1"/>
    <mergeCell ref="B26:B27"/>
    <mergeCell ref="A31:H31"/>
    <mergeCell ref="A40:H40"/>
  </mergeCells>
  <pageMargins left="0.708333333333333" right="0.708333333333333" top="0.747916666666667" bottom="0.747916666666667" header="0.511811023622047" footer="0.315277777777778"/>
  <pageSetup orientation="landscape" paperSize="9" scale="43" horizontalDpi="300" verticalDpi="300"/>
  <headerFooter>
    <oddHeader/>
    <oddFooter>&amp;R&amp;P</oddFooter>
    <evenHeader/>
    <evenFooter/>
    <firstHeader/>
    <firstFooter/>
  </headerFooter>
  <rowBreaks count="1" manualBreakCount="1">
    <brk id="38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K415"/>
  <sheetViews>
    <sheetView view="pageBreakPreview" topLeftCell="A17" zoomScale="70" zoomScaleNormal="60" zoomScaleSheetLayoutView="70" workbookViewId="0">
      <selection activeCell="B18" sqref="B18"/>
    </sheetView>
  </sheetViews>
  <sheetFormatPr baseColWidth="10" defaultColWidth="10" defaultRowHeight="17.25" customHeight="1"/>
  <cols>
    <col collapsed="1" width="11.6328125" customWidth="1" style="293" min="1" max="1"/>
    <col collapsed="1" width="105.7265625" customWidth="1" style="518" min="2" max="2"/>
    <col collapsed="1" width="37.1796875" customWidth="1" style="316" min="3" max="3"/>
    <col collapsed="1" width="37.1796875" customWidth="1" style="770" min="4" max="5"/>
    <col collapsed="1" width="10" customWidth="1" style="770" min="6" max="16384"/>
  </cols>
  <sheetData>
    <row r="1" ht="29.25" customHeight="1" s="885">
      <c r="A1" s="767" t="inlineStr">
        <is>
          <t>RISQUE DE MARCHE : EXIGENCES DE FONDS PROPRES AU TITRE DU RISQUE DE POSITION SUR PRODUITS DE BASE</t>
        </is>
      </c>
      <c r="B1" s="886" t="n"/>
      <c r="C1" s="886" t="n"/>
      <c r="D1" s="886" t="n"/>
      <c r="E1" s="1001" t="inlineStr">
        <is>
          <t>EP28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A3" s="770" t="n"/>
      <c r="B3" s="583" t="n"/>
      <c r="C3" s="770" t="n"/>
      <c r="E3" s="966" t="n"/>
      <c r="F3" s="966" t="n"/>
      <c r="G3" s="966" t="n"/>
      <c r="H3" s="966" t="n"/>
      <c r="I3" s="966" t="n"/>
      <c r="J3" s="966" t="n"/>
      <c r="K3" s="966" t="n"/>
      <c r="L3" s="966" t="n"/>
    </row>
    <row r="4" ht="9.75" customHeight="1" s="885">
      <c r="A4" s="583" t="n"/>
      <c r="B4" s="770" t="n"/>
      <c r="C4" s="966" t="n"/>
      <c r="E4" s="966" t="n"/>
      <c r="F4" s="966" t="n"/>
      <c r="G4" s="966" t="n"/>
      <c r="H4" s="966" t="n"/>
      <c r="I4" s="966" t="n"/>
      <c r="J4" s="966" t="n"/>
      <c r="K4" s="966" t="n"/>
      <c r="L4" s="966" t="n"/>
    </row>
    <row r="5" ht="17.5" customHeight="1" s="885">
      <c r="A5" s="583" t="n"/>
      <c r="B5" s="770" t="n"/>
      <c r="C5" s="966" t="n"/>
      <c r="E5" s="966" t="n"/>
      <c r="F5" s="966" t="n"/>
      <c r="G5" s="966" t="n"/>
      <c r="H5" s="966" t="n"/>
      <c r="I5" s="966" t="n"/>
      <c r="J5" s="966" t="n"/>
      <c r="K5" s="966" t="n"/>
      <c r="L5" s="966" t="n"/>
    </row>
    <row r="6" ht="17.5" customHeight="1" s="885">
      <c r="A6" s="770" t="n"/>
      <c r="B6" s="770" t="n"/>
      <c r="C6" s="966" t="n"/>
      <c r="E6" s="966" t="n"/>
      <c r="F6" s="966" t="n"/>
      <c r="G6" s="966" t="n"/>
      <c r="H6" s="966" t="n"/>
      <c r="I6" s="966" t="n"/>
      <c r="J6" s="966" t="n"/>
      <c r="K6" s="966" t="n"/>
      <c r="L6" s="966" t="n"/>
    </row>
    <row r="7" ht="18" customHeight="1" s="885">
      <c r="A7" s="770" t="n"/>
      <c r="B7" s="302" t="n"/>
      <c r="C7" s="302" t="n"/>
      <c r="D7" s="302" t="n"/>
      <c r="E7" s="302" t="n"/>
    </row>
    <row r="8" ht="18" customHeight="1" s="885">
      <c r="A8" s="584" t="inlineStr">
        <is>
          <t>A. Répartition des positions sur produits de base</t>
        </is>
      </c>
      <c r="B8" s="521" t="n"/>
      <c r="C8" s="97" t="n"/>
      <c r="D8" s="97" t="n"/>
      <c r="E8" s="97" t="n"/>
    </row>
    <row r="9" ht="17.25" customFormat="1" customHeight="1" s="16">
      <c r="A9" s="766" t="inlineStr">
        <is>
          <t>Code DISPRU</t>
        </is>
      </c>
      <c r="B9" s="833" t="inlineStr">
        <is>
          <t>Poste</t>
        </is>
      </c>
      <c r="C9" s="832" t="inlineStr">
        <is>
          <t xml:space="preserve">Positions </t>
        </is>
      </c>
      <c r="D9" s="894" t="n"/>
      <c r="E9" s="894" t="n"/>
    </row>
    <row r="10" ht="18" customFormat="1" customHeight="1" s="16">
      <c r="A10" s="958" t="n"/>
      <c r="B10" s="958" t="n"/>
      <c r="C10" s="766" t="inlineStr">
        <is>
          <t>Toutes les positions</t>
        </is>
      </c>
      <c r="D10" s="895" t="n"/>
      <c r="E10" s="766" t="inlineStr">
        <is>
          <t>Positions nettes</t>
        </is>
      </c>
    </row>
    <row r="11" ht="25.5" customFormat="1" customHeight="1" s="16">
      <c r="A11" s="896" t="n"/>
      <c r="B11" s="896" t="n"/>
      <c r="C11" s="766" t="inlineStr">
        <is>
          <t>Longues</t>
        </is>
      </c>
      <c r="D11" s="766" t="inlineStr">
        <is>
          <t>Courtes</t>
        </is>
      </c>
      <c r="E11" s="766" t="inlineStr">
        <is>
          <t>Longues / Courtes</t>
        </is>
      </c>
    </row>
    <row r="12" ht="30.75" customHeight="1" s="885">
      <c r="A12" s="869" t="inlineStr">
        <is>
          <t>RM110</t>
        </is>
      </c>
      <c r="B12" s="544" t="inlineStr">
        <is>
          <t>Métaux précieux (hormis l'or)</t>
        </is>
      </c>
      <c r="C12" s="523" t="n"/>
      <c r="D12" s="523" t="n"/>
      <c r="E12" s="523" t="n"/>
    </row>
    <row r="13" ht="30.75" customHeight="1" s="885">
      <c r="A13" s="869" t="inlineStr">
        <is>
          <t>RM111</t>
        </is>
      </c>
      <c r="B13" s="544" t="inlineStr">
        <is>
          <t>Métaux de base</t>
        </is>
      </c>
      <c r="C13" s="523" t="n"/>
      <c r="D13" s="523" t="n"/>
      <c r="E13" s="523" t="n"/>
    </row>
    <row r="14" ht="30.75" customHeight="1" s="885">
      <c r="A14" s="869" t="inlineStr">
        <is>
          <t>RM112</t>
        </is>
      </c>
      <c r="B14" s="544" t="inlineStr">
        <is>
          <t>Produits agricoles</t>
        </is>
      </c>
      <c r="C14" s="523" t="n"/>
      <c r="D14" s="523" t="n"/>
      <c r="E14" s="523" t="n"/>
    </row>
    <row r="15" ht="30.75" customHeight="1" s="885">
      <c r="A15" s="869" t="inlineStr">
        <is>
          <t>RM113</t>
        </is>
      </c>
      <c r="B15" s="544" t="inlineStr">
        <is>
          <t>Produits énergétiques (pétrole, gaz)</t>
        </is>
      </c>
      <c r="C15" s="523" t="n"/>
      <c r="D15" s="523" t="n"/>
      <c r="E15" s="523" t="n"/>
    </row>
    <row r="16" ht="30.75" customHeight="1" s="885">
      <c r="A16" s="869" t="inlineStr">
        <is>
          <t>RM114</t>
        </is>
      </c>
      <c r="B16" s="544" t="inlineStr">
        <is>
          <t>Autres</t>
        </is>
      </c>
      <c r="C16" s="523" t="n"/>
      <c r="D16" s="523" t="n"/>
      <c r="E16" s="523" t="n"/>
    </row>
    <row r="17" ht="17.5" customHeight="1" s="885">
      <c r="A17" s="869" t="n"/>
      <c r="B17" s="97" t="n"/>
      <c r="C17" s="97" t="n"/>
      <c r="D17" s="97" t="n"/>
      <c r="E17" s="97" t="n"/>
    </row>
    <row r="18" ht="30" customHeight="1" s="885">
      <c r="A18" s="869" t="inlineStr">
        <is>
          <t>RM116</t>
        </is>
      </c>
      <c r="B18" s="585" t="inlineStr">
        <is>
          <t>Total des positions sur produit de base</t>
        </is>
      </c>
      <c r="C18" s="523" t="n">
        <v>0</v>
      </c>
      <c r="D18" s="523" t="n">
        <v>0</v>
      </c>
      <c r="E18" s="523" t="n">
        <v>0</v>
      </c>
    </row>
    <row r="19" ht="17.5" customHeight="1" s="885">
      <c r="A19" s="586" t="n"/>
      <c r="B19" s="587" t="n"/>
      <c r="C19" s="782" t="n"/>
      <c r="D19" s="587" t="n"/>
      <c r="E19" s="782" t="n"/>
    </row>
    <row r="20" ht="18" customHeight="1" s="885">
      <c r="A20" s="520" t="inlineStr">
        <is>
          <t>B. Risque général</t>
        </is>
      </c>
      <c r="B20" s="521" t="n"/>
      <c r="C20" s="97" t="n"/>
      <c r="D20" s="97" t="n"/>
      <c r="E20" s="97" t="n"/>
    </row>
    <row r="21" ht="12.75" customFormat="1" customHeight="1" s="16">
      <c r="A21" s="766" t="inlineStr">
        <is>
          <t>Code DISPRU</t>
        </is>
      </c>
      <c r="B21" s="833" t="inlineStr">
        <is>
          <t>Poste</t>
        </is>
      </c>
      <c r="C21" s="766" t="inlineStr">
        <is>
          <t>Montant</t>
        </is>
      </c>
      <c r="D21" s="766" t="inlineStr">
        <is>
          <t>Pondération</t>
        </is>
      </c>
      <c r="E21" s="766" t="inlineStr">
        <is>
          <t>Exigences de fonds propres</t>
        </is>
      </c>
    </row>
    <row r="22" ht="12.75" customFormat="1" customHeight="1" s="16">
      <c r="A22" s="958" t="n"/>
      <c r="B22" s="958" t="n"/>
      <c r="C22" s="958" t="n"/>
      <c r="D22" s="958" t="n"/>
      <c r="E22" s="958" t="n"/>
    </row>
    <row r="23" ht="25.5" customFormat="1" customHeight="1" s="16">
      <c r="A23" s="896" t="n"/>
      <c r="B23" s="896" t="n"/>
      <c r="C23" s="896" t="n"/>
      <c r="D23" s="896" t="n"/>
      <c r="E23" s="896" t="n"/>
    </row>
    <row r="24" ht="30" customHeight="1" s="885">
      <c r="A24" s="869" t="inlineStr">
        <is>
          <t>RM117</t>
        </is>
      </c>
      <c r="B24" s="160" t="inlineStr">
        <is>
          <t>Positions nettes</t>
        </is>
      </c>
      <c r="C24" s="523" t="n"/>
      <c r="D24" s="1009" t="n">
        <v>0.15</v>
      </c>
      <c r="E24" s="523" t="n">
        <v>0</v>
      </c>
    </row>
    <row r="25" ht="30" customHeight="1" s="885">
      <c r="A25" s="869" t="inlineStr">
        <is>
          <t>RM118</t>
        </is>
      </c>
      <c r="B25" s="869" t="inlineStr">
        <is>
          <t>Positions brutes</t>
        </is>
      </c>
      <c r="C25" s="523" t="n"/>
      <c r="D25" s="1009" t="n">
        <v>0.03</v>
      </c>
      <c r="E25" s="523" t="n">
        <v>0</v>
      </c>
    </row>
    <row r="26" ht="17.5" customHeight="1" s="885">
      <c r="A26" s="589" t="n"/>
      <c r="B26" s="97" t="n"/>
      <c r="C26" s="97" t="n"/>
      <c r="D26" s="97" t="n"/>
      <c r="E26" s="97" t="n"/>
    </row>
    <row r="27" ht="30" customFormat="1" customHeight="1" s="315">
      <c r="A27" s="126" t="inlineStr">
        <is>
          <t>RM119</t>
        </is>
      </c>
      <c r="B27" s="590" t="inlineStr">
        <is>
          <t>Fonds propres pour risque général</t>
        </is>
      </c>
      <c r="C27" s="591" t="n"/>
      <c r="D27" s="591" t="n"/>
      <c r="E27" s="523" t="n">
        <v>0</v>
      </c>
    </row>
    <row r="28" ht="17.5" customHeight="1" s="885">
      <c r="A28" s="782" t="n"/>
      <c r="B28" s="97" t="n"/>
      <c r="C28" s="97" t="n"/>
      <c r="D28" s="97" t="n"/>
      <c r="E28" s="97" t="n"/>
    </row>
    <row r="29" ht="13.5" customFormat="1" customHeight="1" s="391">
      <c r="A29" s="830" t="n"/>
      <c r="B29" s="886" t="n"/>
      <c r="C29" s="886" t="n"/>
      <c r="D29" s="886" t="n"/>
      <c r="E29" s="886" t="n"/>
    </row>
    <row r="30" ht="25.5" customFormat="1" customHeight="1" s="16">
      <c r="A30" s="845" t="inlineStr">
        <is>
          <t>C. Exigences supplémentaires pour les options</t>
        </is>
      </c>
      <c r="B30" s="956" t="n"/>
      <c r="C30" s="571" t="n"/>
      <c r="D30" s="572" t="n"/>
      <c r="E30" s="571" t="n"/>
    </row>
    <row r="31" ht="18" customFormat="1" customHeight="1" s="16">
      <c r="A31" s="766" t="inlineStr">
        <is>
          <t>Code DISPRU</t>
        </is>
      </c>
      <c r="B31" s="835" t="inlineStr">
        <is>
          <t>Poste</t>
        </is>
      </c>
      <c r="C31" s="928" t="n"/>
      <c r="D31" s="771" t="n"/>
      <c r="E31" s="766" t="inlineStr">
        <is>
          <t>Exigences de fonds propres</t>
        </is>
      </c>
    </row>
    <row r="32" ht="38.25" customFormat="1" customHeight="1" s="16">
      <c r="A32" s="896" t="n"/>
      <c r="B32" s="962" t="n"/>
      <c r="C32" s="956" t="n"/>
      <c r="D32" s="897" t="n"/>
      <c r="E32" s="896" t="n"/>
    </row>
    <row r="33" ht="30" customFormat="1" customHeight="1" s="391">
      <c r="A33" s="51" t="inlineStr">
        <is>
          <t>RM120</t>
        </is>
      </c>
      <c r="B33" s="121" t="inlineStr">
        <is>
          <t>Approche simplifiée</t>
        </is>
      </c>
      <c r="C33" s="592" t="n"/>
      <c r="D33" s="593" t="n"/>
      <c r="E33" s="523" t="n"/>
    </row>
    <row r="34" ht="30" customFormat="1" customHeight="1" s="391">
      <c r="A34" s="51" t="inlineStr">
        <is>
          <t>RM121</t>
        </is>
      </c>
      <c r="B34" s="121" t="inlineStr">
        <is>
          <t>Méthode Delta Plus - Exigences supplémentaires pour risque Gamma</t>
        </is>
      </c>
      <c r="C34" s="592" t="n"/>
      <c r="D34" s="593" t="n"/>
      <c r="E34" s="523" t="n"/>
    </row>
    <row r="35" ht="30" customFormat="1" customHeight="1" s="391">
      <c r="A35" s="51" t="inlineStr">
        <is>
          <t>RM122</t>
        </is>
      </c>
      <c r="B35" s="121" t="inlineStr">
        <is>
          <t>Méthode Delta Plus - Exigences supplémentaires pour risque Véga</t>
        </is>
      </c>
      <c r="C35" s="592" t="n"/>
      <c r="D35" s="593" t="n"/>
      <c r="E35" s="523" t="n"/>
    </row>
    <row r="36" ht="13.5" customFormat="1" customHeight="1" s="391">
      <c r="A36" s="594" t="n"/>
      <c r="B36" s="594" t="n"/>
      <c r="C36" s="594" t="n"/>
      <c r="D36" s="594" t="n"/>
      <c r="E36" s="594" t="n"/>
    </row>
    <row r="37" ht="30" customFormat="1" customHeight="1" s="16">
      <c r="A37" s="528" t="inlineStr">
        <is>
          <t>RM123</t>
        </is>
      </c>
      <c r="B37" s="529" t="inlineStr">
        <is>
          <t>Fonds propres pour risques sur options</t>
        </is>
      </c>
      <c r="C37" s="530" t="n"/>
      <c r="D37" s="593" t="n"/>
      <c r="E37" s="523" t="n">
        <v>0</v>
      </c>
    </row>
    <row r="38" ht="13.5" customFormat="1" customHeight="1" s="391">
      <c r="A38" s="830" t="n"/>
      <c r="B38" s="886" t="n"/>
      <c r="C38" s="886" t="n"/>
      <c r="D38" s="886" t="n"/>
      <c r="E38" s="886" t="n"/>
    </row>
    <row r="39" ht="38.25" customFormat="1" customHeight="1" s="16">
      <c r="A39" s="844" t="inlineStr">
        <is>
          <t>D. Actifs pondérés au titre du risque de position sur produits de base</t>
        </is>
      </c>
      <c r="B39" s="886" t="n"/>
      <c r="C39" s="571" t="n"/>
      <c r="D39" s="571" t="n"/>
      <c r="E39" s="571" t="n"/>
    </row>
    <row r="40" ht="20.25" customFormat="1" customHeight="1" s="425">
      <c r="A40" s="766" t="inlineStr">
        <is>
          <t>Code DISPRU</t>
        </is>
      </c>
      <c r="B40" s="835" t="inlineStr">
        <is>
          <t>Poste</t>
        </is>
      </c>
      <c r="C40" s="766" t="inlineStr">
        <is>
          <t>Exigences de fonds propres</t>
        </is>
      </c>
      <c r="D40" s="766" t="inlineStr">
        <is>
          <t>Actifs pondérés des risques</t>
        </is>
      </c>
      <c r="E40" s="533" t="n"/>
      <c r="F40" s="595" t="n"/>
      <c r="G40" s="595" t="n"/>
      <c r="H40" s="595" t="n"/>
    </row>
    <row r="41" ht="42" customFormat="1" customHeight="1" s="425">
      <c r="A41" s="896" t="n"/>
      <c r="B41" s="962" t="n"/>
      <c r="C41" s="896" t="n"/>
      <c r="D41" s="896" t="n"/>
      <c r="E41" s="536" t="n"/>
      <c r="F41" s="596" t="n"/>
      <c r="G41" s="596" t="n"/>
      <c r="H41" s="596" t="n"/>
    </row>
    <row r="42" ht="17.25" customFormat="1" customHeight="1" s="425">
      <c r="A42" s="766" t="n"/>
      <c r="B42" s="895" t="n"/>
      <c r="C42" s="839" t="inlineStr">
        <is>
          <t>(a)</t>
        </is>
      </c>
      <c r="D42" s="839" t="inlineStr">
        <is>
          <t>(b)=ax12,5</t>
        </is>
      </c>
      <c r="E42" s="537" t="n"/>
      <c r="F42" s="596" t="n"/>
      <c r="G42" s="596" t="n"/>
      <c r="H42" s="596" t="n"/>
    </row>
    <row r="43" ht="20" customFormat="1" customHeight="1" s="420">
      <c r="A43" s="126" t="inlineStr">
        <is>
          <t>RM124</t>
        </is>
      </c>
      <c r="B43" s="529" t="inlineStr">
        <is>
          <t>TOTAL</t>
        </is>
      </c>
      <c r="C43" s="523" t="n">
        <v>0</v>
      </c>
      <c r="D43" s="523" t="n">
        <v>0</v>
      </c>
      <c r="E43" s="536" t="n"/>
      <c r="F43" s="596" t="n"/>
      <c r="G43" s="596" t="n"/>
      <c r="H43" s="596" t="n"/>
    </row>
    <row r="44" ht="17.5" customHeight="1" s="885">
      <c r="B44" s="770" t="n"/>
      <c r="C44" s="770" t="n"/>
    </row>
    <row r="45" ht="17.5" customHeight="1" s="885">
      <c r="B45" s="770" t="n"/>
      <c r="C45" s="770" t="n"/>
    </row>
    <row r="46" ht="17.5" customHeight="1" s="885">
      <c r="B46" s="770" t="n"/>
      <c r="C46" s="770" t="n"/>
    </row>
    <row r="47" ht="17.5" customHeight="1" s="885">
      <c r="B47" s="770" t="n"/>
      <c r="C47" s="770" t="n"/>
    </row>
    <row r="48" ht="17.5" customHeight="1" s="885">
      <c r="B48" s="770" t="n"/>
      <c r="C48" s="770" t="n"/>
    </row>
    <row r="49" ht="17.5" customFormat="1" customHeight="1" s="770">
      <c r="A49" s="293" t="n"/>
    </row>
    <row r="50" ht="17.5" customFormat="1" customHeight="1" s="770">
      <c r="A50" s="293" t="n"/>
    </row>
    <row r="51" ht="17.5" customFormat="1" customHeight="1" s="770">
      <c r="A51" s="293" t="n"/>
    </row>
    <row r="52" ht="17.5" customFormat="1" customHeight="1" s="770">
      <c r="A52" s="293" t="n"/>
    </row>
    <row r="53" ht="17.5" customFormat="1" customHeight="1" s="770">
      <c r="A53" s="293" t="n"/>
    </row>
    <row r="54" ht="17.5" customFormat="1" customHeight="1" s="770">
      <c r="A54" s="293" t="n"/>
    </row>
    <row r="55" ht="17.5" customFormat="1" customHeight="1" s="770">
      <c r="A55" s="293" t="n"/>
    </row>
    <row r="56" ht="17.5" customFormat="1" customHeight="1" s="770">
      <c r="A56" s="293" t="n"/>
    </row>
    <row r="57" ht="17.5" customFormat="1" customHeight="1" s="770">
      <c r="A57" s="293" t="n"/>
    </row>
    <row r="58" ht="17.5" customFormat="1" customHeight="1" s="770">
      <c r="A58" s="293" t="n"/>
    </row>
    <row r="59" ht="17.5" customFormat="1" customHeight="1" s="770">
      <c r="A59" s="293" t="n"/>
    </row>
    <row r="60" ht="17.5" customFormat="1" customHeight="1" s="770">
      <c r="A60" s="293" t="n"/>
    </row>
    <row r="61" ht="17.5" customFormat="1" customHeight="1" s="770">
      <c r="A61" s="293" t="n"/>
    </row>
    <row r="62" ht="17.5" customFormat="1" customHeight="1" s="770">
      <c r="A62" s="293" t="n"/>
    </row>
    <row r="63" ht="17.5" customFormat="1" customHeight="1" s="770">
      <c r="A63" s="293" t="n"/>
    </row>
    <row r="64" ht="17.5" customFormat="1" customHeight="1" s="770">
      <c r="A64" s="293" t="n"/>
    </row>
    <row r="65" ht="17.5" customFormat="1" customHeight="1" s="770">
      <c r="A65" s="293" t="n"/>
    </row>
    <row r="66" ht="17.5" customFormat="1" customHeight="1" s="770">
      <c r="A66" s="293" t="n"/>
    </row>
    <row r="67" ht="17.5" customFormat="1" customHeight="1" s="770">
      <c r="A67" s="293" t="n"/>
    </row>
    <row r="68" ht="17.5" customFormat="1" customHeight="1" s="770">
      <c r="A68" s="293" t="n"/>
    </row>
    <row r="69" ht="17.5" customFormat="1" customHeight="1" s="770">
      <c r="A69" s="293" t="n"/>
    </row>
    <row r="70" ht="17.5" customFormat="1" customHeight="1" s="770">
      <c r="A70" s="293" t="n"/>
    </row>
    <row r="71" ht="17.5" customFormat="1" customHeight="1" s="770">
      <c r="A71" s="293" t="n"/>
    </row>
    <row r="72" ht="17.5" customFormat="1" customHeight="1" s="770">
      <c r="A72" s="293" t="n"/>
    </row>
    <row r="73" ht="17.5" customFormat="1" customHeight="1" s="770">
      <c r="A73" s="293" t="n"/>
    </row>
    <row r="74" ht="17.5" customFormat="1" customHeight="1" s="770">
      <c r="A74" s="293" t="n"/>
    </row>
    <row r="75" ht="17.5" customFormat="1" customHeight="1" s="770">
      <c r="A75" s="293" t="n"/>
    </row>
    <row r="76" ht="17.5" customFormat="1" customHeight="1" s="770">
      <c r="A76" s="293" t="n"/>
    </row>
    <row r="77" ht="17.5" customFormat="1" customHeight="1" s="770">
      <c r="A77" s="293" t="n"/>
    </row>
    <row r="78" ht="17.5" customFormat="1" customHeight="1" s="770">
      <c r="A78" s="293" t="n"/>
    </row>
    <row r="79" ht="17.5" customFormat="1" customHeight="1" s="770">
      <c r="A79" s="293" t="n"/>
    </row>
    <row r="80" ht="17.5" customFormat="1" customHeight="1" s="770">
      <c r="A80" s="293" t="n"/>
    </row>
    <row r="81" ht="17.5" customFormat="1" customHeight="1" s="770">
      <c r="A81" s="293" t="n"/>
    </row>
    <row r="82" ht="17.5" customFormat="1" customHeight="1" s="770">
      <c r="A82" s="293" t="n"/>
    </row>
    <row r="83" ht="17.5" customFormat="1" customHeight="1" s="770">
      <c r="A83" s="293" t="n"/>
    </row>
    <row r="84" ht="17.5" customFormat="1" customHeight="1" s="770">
      <c r="A84" s="293" t="n"/>
    </row>
    <row r="85" ht="17.5" customFormat="1" customHeight="1" s="770">
      <c r="A85" s="293" t="n"/>
    </row>
    <row r="86" ht="17.5" customFormat="1" customHeight="1" s="770">
      <c r="A86" s="293" t="n"/>
    </row>
    <row r="87" ht="17.5" customFormat="1" customHeight="1" s="770">
      <c r="A87" s="293" t="n"/>
    </row>
    <row r="88" ht="17.5" customFormat="1" customHeight="1" s="770">
      <c r="A88" s="293" t="n"/>
    </row>
    <row r="89" ht="17.5" customFormat="1" customHeight="1" s="770">
      <c r="A89" s="293" t="n"/>
    </row>
    <row r="90" ht="17.5" customFormat="1" customHeight="1" s="770">
      <c r="A90" s="293" t="n"/>
    </row>
    <row r="91" ht="17.5" customFormat="1" customHeight="1" s="770">
      <c r="A91" s="293" t="n"/>
    </row>
    <row r="92" ht="17.5" customFormat="1" customHeight="1" s="770">
      <c r="A92" s="293" t="n"/>
    </row>
    <row r="93" ht="17.5" customFormat="1" customHeight="1" s="770">
      <c r="A93" s="293" t="n"/>
    </row>
    <row r="94" ht="17.5" customFormat="1" customHeight="1" s="770">
      <c r="A94" s="293" t="n"/>
    </row>
    <row r="95" ht="17.5" customFormat="1" customHeight="1" s="770">
      <c r="A95" s="293" t="n"/>
    </row>
    <row r="96" ht="17.5" customFormat="1" customHeight="1" s="770">
      <c r="A96" s="293" t="n"/>
    </row>
    <row r="97" ht="17.5" customFormat="1" customHeight="1" s="770">
      <c r="A97" s="293" t="n"/>
    </row>
    <row r="98" ht="17.5" customFormat="1" customHeight="1" s="770">
      <c r="A98" s="293" t="n"/>
    </row>
    <row r="99" ht="17.5" customFormat="1" customHeight="1" s="770">
      <c r="A99" s="293" t="n"/>
    </row>
    <row r="100" ht="17.5" customFormat="1" customHeight="1" s="770">
      <c r="A100" s="293" t="n"/>
    </row>
    <row r="101" ht="17.5" customFormat="1" customHeight="1" s="770">
      <c r="A101" s="293" t="n"/>
    </row>
    <row r="102" ht="17.5" customFormat="1" customHeight="1" s="770">
      <c r="A102" s="293" t="n"/>
    </row>
    <row r="103" ht="17.5" customFormat="1" customHeight="1" s="770">
      <c r="A103" s="293" t="n"/>
    </row>
    <row r="104" ht="17.5" customFormat="1" customHeight="1" s="770">
      <c r="A104" s="293" t="n"/>
    </row>
    <row r="105" ht="17.5" customFormat="1" customHeight="1" s="770">
      <c r="A105" s="293" t="n"/>
    </row>
    <row r="106" ht="17.5" customFormat="1" customHeight="1" s="770">
      <c r="A106" s="293" t="n"/>
    </row>
    <row r="107" ht="17.5" customFormat="1" customHeight="1" s="770">
      <c r="A107" s="293" t="n"/>
    </row>
    <row r="108" ht="17.5" customFormat="1" customHeight="1" s="770">
      <c r="A108" s="293" t="n"/>
    </row>
    <row r="109" ht="17.5" customFormat="1" customHeight="1" s="770">
      <c r="A109" s="293" t="n"/>
    </row>
    <row r="110" ht="17.5" customFormat="1" customHeight="1" s="770">
      <c r="A110" s="293" t="n"/>
    </row>
    <row r="111" ht="17.5" customFormat="1" customHeight="1" s="770">
      <c r="A111" s="293" t="n"/>
    </row>
    <row r="112" ht="17.5" customFormat="1" customHeight="1" s="770">
      <c r="A112" s="293" t="n"/>
    </row>
    <row r="113" ht="17.5" customFormat="1" customHeight="1" s="770">
      <c r="A113" s="293" t="n"/>
    </row>
    <row r="114" ht="17.5" customFormat="1" customHeight="1" s="770">
      <c r="A114" s="293" t="n"/>
    </row>
    <row r="115" ht="17.5" customFormat="1" customHeight="1" s="770">
      <c r="A115" s="293" t="n"/>
    </row>
    <row r="116" ht="17.5" customFormat="1" customHeight="1" s="770">
      <c r="A116" s="293" t="n"/>
    </row>
    <row r="117" ht="17.5" customFormat="1" customHeight="1" s="770">
      <c r="A117" s="293" t="n"/>
    </row>
    <row r="118" ht="17.5" customFormat="1" customHeight="1" s="770">
      <c r="A118" s="293" t="n"/>
    </row>
    <row r="119" ht="17.5" customFormat="1" customHeight="1" s="770">
      <c r="A119" s="293" t="n"/>
    </row>
    <row r="120" ht="17.5" customFormat="1" customHeight="1" s="770">
      <c r="A120" s="293" t="n"/>
    </row>
    <row r="121" ht="17.5" customFormat="1" customHeight="1" s="770">
      <c r="A121" s="293" t="n"/>
    </row>
    <row r="122" ht="17.5" customFormat="1" customHeight="1" s="770">
      <c r="A122" s="293" t="n"/>
    </row>
    <row r="123" ht="17.5" customFormat="1" customHeight="1" s="770">
      <c r="A123" s="293" t="n"/>
    </row>
    <row r="124" ht="17.5" customFormat="1" customHeight="1" s="770">
      <c r="A124" s="293" t="n"/>
    </row>
    <row r="125" ht="17.5" customFormat="1" customHeight="1" s="770">
      <c r="A125" s="293" t="n"/>
    </row>
    <row r="126" ht="17.5" customFormat="1" customHeight="1" s="770">
      <c r="A126" s="293" t="n"/>
    </row>
    <row r="127" ht="17.5" customFormat="1" customHeight="1" s="770">
      <c r="A127" s="293" t="n"/>
    </row>
    <row r="128" ht="17.5" customFormat="1" customHeight="1" s="770">
      <c r="A128" s="293" t="n"/>
    </row>
    <row r="129" ht="17.5" customFormat="1" customHeight="1" s="770">
      <c r="A129" s="293" t="n"/>
    </row>
    <row r="130" ht="17.5" customFormat="1" customHeight="1" s="770">
      <c r="A130" s="293" t="n"/>
    </row>
    <row r="131" ht="17.5" customFormat="1" customHeight="1" s="770">
      <c r="A131" s="293" t="n"/>
    </row>
    <row r="132" ht="17.5" customFormat="1" customHeight="1" s="770">
      <c r="A132" s="293" t="n"/>
    </row>
    <row r="133" ht="17.5" customFormat="1" customHeight="1" s="770">
      <c r="A133" s="293" t="n"/>
    </row>
    <row r="134" ht="17.5" customFormat="1" customHeight="1" s="770">
      <c r="A134" s="293" t="n"/>
    </row>
    <row r="135" ht="17.5" customFormat="1" customHeight="1" s="770">
      <c r="A135" s="293" t="n"/>
    </row>
    <row r="136" ht="17.5" customFormat="1" customHeight="1" s="770">
      <c r="A136" s="293" t="n"/>
    </row>
    <row r="137" ht="17.5" customFormat="1" customHeight="1" s="770">
      <c r="A137" s="293" t="n"/>
    </row>
    <row r="138" ht="17.5" customFormat="1" customHeight="1" s="770">
      <c r="A138" s="293" t="n"/>
    </row>
    <row r="139" ht="17.5" customFormat="1" customHeight="1" s="770">
      <c r="A139" s="293" t="n"/>
    </row>
    <row r="140" ht="17.5" customFormat="1" customHeight="1" s="770">
      <c r="A140" s="293" t="n"/>
    </row>
    <row r="141" ht="17.5" customFormat="1" customHeight="1" s="770">
      <c r="A141" s="293" t="n"/>
    </row>
    <row r="142" ht="17.5" customFormat="1" customHeight="1" s="770">
      <c r="A142" s="293" t="n"/>
    </row>
    <row r="143" ht="17.5" customFormat="1" customHeight="1" s="770">
      <c r="A143" s="293" t="n"/>
    </row>
    <row r="144" ht="17.5" customFormat="1" customHeight="1" s="770">
      <c r="A144" s="293" t="n"/>
    </row>
    <row r="145" ht="17.5" customFormat="1" customHeight="1" s="770">
      <c r="A145" s="293" t="n"/>
    </row>
    <row r="146" ht="17.5" customFormat="1" customHeight="1" s="770">
      <c r="A146" s="293" t="n"/>
    </row>
    <row r="147" ht="17.5" customFormat="1" customHeight="1" s="770">
      <c r="A147" s="293" t="n"/>
    </row>
    <row r="148" ht="17.5" customFormat="1" customHeight="1" s="770">
      <c r="A148" s="293" t="n"/>
    </row>
    <row r="149" ht="17.5" customFormat="1" customHeight="1" s="770">
      <c r="A149" s="293" t="n"/>
    </row>
    <row r="150" ht="17.5" customFormat="1" customHeight="1" s="770">
      <c r="A150" s="293" t="n"/>
    </row>
    <row r="151" ht="17.5" customFormat="1" customHeight="1" s="770">
      <c r="A151" s="293" t="n"/>
    </row>
    <row r="152" ht="17.5" customFormat="1" customHeight="1" s="770">
      <c r="A152" s="293" t="n"/>
    </row>
    <row r="153" ht="17.5" customFormat="1" customHeight="1" s="770">
      <c r="A153" s="293" t="n"/>
    </row>
    <row r="154" ht="17.5" customFormat="1" customHeight="1" s="770">
      <c r="A154" s="293" t="n"/>
    </row>
    <row r="155" ht="17.5" customFormat="1" customHeight="1" s="770">
      <c r="A155" s="293" t="n"/>
    </row>
    <row r="156" ht="17.5" customFormat="1" customHeight="1" s="770">
      <c r="A156" s="293" t="n"/>
    </row>
    <row r="157" ht="17.5" customFormat="1" customHeight="1" s="770">
      <c r="A157" s="293" t="n"/>
    </row>
    <row r="158" ht="17.5" customFormat="1" customHeight="1" s="770">
      <c r="A158" s="293" t="n"/>
    </row>
    <row r="159" ht="17.5" customFormat="1" customHeight="1" s="770">
      <c r="A159" s="293" t="n"/>
    </row>
    <row r="160" ht="17.5" customFormat="1" customHeight="1" s="770">
      <c r="A160" s="293" t="n"/>
    </row>
    <row r="161" ht="17.5" customFormat="1" customHeight="1" s="770">
      <c r="A161" s="293" t="n"/>
    </row>
    <row r="162" ht="17.5" customFormat="1" customHeight="1" s="770">
      <c r="A162" s="293" t="n"/>
    </row>
    <row r="163" ht="17.5" customFormat="1" customHeight="1" s="770">
      <c r="A163" s="293" t="n"/>
    </row>
    <row r="164" ht="17.5" customFormat="1" customHeight="1" s="770">
      <c r="A164" s="293" t="n"/>
    </row>
    <row r="165" ht="17.5" customFormat="1" customHeight="1" s="770">
      <c r="A165" s="293" t="n"/>
    </row>
    <row r="166" ht="17.5" customFormat="1" customHeight="1" s="770">
      <c r="A166" s="293" t="n"/>
    </row>
    <row r="167" ht="17.5" customFormat="1" customHeight="1" s="770">
      <c r="A167" s="293" t="n"/>
    </row>
    <row r="168" ht="17.5" customFormat="1" customHeight="1" s="770">
      <c r="A168" s="293" t="n"/>
    </row>
    <row r="169" ht="17.5" customFormat="1" customHeight="1" s="770">
      <c r="A169" s="293" t="n"/>
    </row>
    <row r="170" ht="17.5" customFormat="1" customHeight="1" s="770">
      <c r="A170" s="293" t="n"/>
    </row>
    <row r="171" ht="17.5" customFormat="1" customHeight="1" s="770">
      <c r="A171" s="293" t="n"/>
    </row>
    <row r="172" ht="17.5" customFormat="1" customHeight="1" s="770">
      <c r="A172" s="293" t="n"/>
    </row>
    <row r="173" ht="17.5" customFormat="1" customHeight="1" s="770">
      <c r="A173" s="293" t="n"/>
    </row>
    <row r="174" ht="17.5" customFormat="1" customHeight="1" s="770">
      <c r="A174" s="293" t="n"/>
    </row>
    <row r="175" ht="17.5" customFormat="1" customHeight="1" s="770">
      <c r="A175" s="293" t="n"/>
    </row>
    <row r="176" ht="17.5" customFormat="1" customHeight="1" s="770">
      <c r="A176" s="293" t="n"/>
    </row>
    <row r="177" ht="17.5" customFormat="1" customHeight="1" s="770">
      <c r="A177" s="293" t="n"/>
    </row>
    <row r="178" ht="17.5" customFormat="1" customHeight="1" s="770">
      <c r="A178" s="293" t="n"/>
    </row>
    <row r="179" ht="17.5" customFormat="1" customHeight="1" s="770">
      <c r="A179" s="293" t="n"/>
    </row>
    <row r="180" ht="17.5" customFormat="1" customHeight="1" s="770">
      <c r="A180" s="293" t="n"/>
    </row>
    <row r="181" ht="17.5" customFormat="1" customHeight="1" s="770">
      <c r="A181" s="293" t="n"/>
    </row>
    <row r="182" ht="17.5" customFormat="1" customHeight="1" s="770">
      <c r="A182" s="293" t="n"/>
    </row>
    <row r="183" ht="17.5" customFormat="1" customHeight="1" s="770">
      <c r="A183" s="293" t="n"/>
    </row>
    <row r="184" ht="17.5" customFormat="1" customHeight="1" s="770">
      <c r="A184" s="293" t="n"/>
    </row>
    <row r="185" ht="17.5" customFormat="1" customHeight="1" s="770">
      <c r="A185" s="293" t="n"/>
    </row>
    <row r="186" ht="17.5" customFormat="1" customHeight="1" s="770">
      <c r="A186" s="293" t="n"/>
    </row>
    <row r="187" ht="17.5" customFormat="1" customHeight="1" s="770">
      <c r="A187" s="293" t="n"/>
    </row>
    <row r="188" ht="17.5" customFormat="1" customHeight="1" s="770">
      <c r="A188" s="293" t="n"/>
    </row>
    <row r="189" ht="17.5" customFormat="1" customHeight="1" s="770">
      <c r="A189" s="293" t="n"/>
    </row>
    <row r="190" ht="17.5" customFormat="1" customHeight="1" s="770">
      <c r="A190" s="293" t="n"/>
    </row>
    <row r="191" ht="17.5" customFormat="1" customHeight="1" s="770">
      <c r="A191" s="293" t="n"/>
    </row>
    <row r="192" ht="17.5" customFormat="1" customHeight="1" s="770">
      <c r="A192" s="293" t="n"/>
    </row>
    <row r="193" ht="17.5" customFormat="1" customHeight="1" s="770">
      <c r="A193" s="293" t="n"/>
    </row>
    <row r="194" ht="17.5" customFormat="1" customHeight="1" s="770">
      <c r="A194" s="293" t="n"/>
    </row>
    <row r="195" ht="17.5" customFormat="1" customHeight="1" s="770">
      <c r="A195" s="293" t="n"/>
    </row>
    <row r="196" ht="17.5" customFormat="1" customHeight="1" s="770">
      <c r="A196" s="293" t="n"/>
    </row>
    <row r="197" ht="17.5" customFormat="1" customHeight="1" s="770">
      <c r="A197" s="293" t="n"/>
    </row>
    <row r="198" ht="17.5" customFormat="1" customHeight="1" s="770">
      <c r="A198" s="293" t="n"/>
    </row>
    <row r="199" ht="17.5" customFormat="1" customHeight="1" s="770">
      <c r="A199" s="293" t="n"/>
    </row>
    <row r="200" ht="17.5" customFormat="1" customHeight="1" s="770">
      <c r="A200" s="293" t="n"/>
    </row>
    <row r="201" ht="17.5" customFormat="1" customHeight="1" s="770">
      <c r="A201" s="293" t="n"/>
    </row>
    <row r="202" ht="17.5" customFormat="1" customHeight="1" s="770">
      <c r="A202" s="293" t="n"/>
    </row>
    <row r="203" ht="17.5" customFormat="1" customHeight="1" s="770">
      <c r="A203" s="293" t="n"/>
    </row>
    <row r="204" ht="17.5" customFormat="1" customHeight="1" s="770">
      <c r="A204" s="293" t="n"/>
    </row>
    <row r="205" ht="17.5" customFormat="1" customHeight="1" s="770">
      <c r="A205" s="293" t="n"/>
    </row>
    <row r="206" ht="17.5" customFormat="1" customHeight="1" s="770">
      <c r="A206" s="293" t="n"/>
    </row>
    <row r="207" ht="17.5" customFormat="1" customHeight="1" s="770">
      <c r="A207" s="293" t="n"/>
    </row>
    <row r="208" ht="17.5" customFormat="1" customHeight="1" s="770">
      <c r="A208" s="293" t="n"/>
    </row>
    <row r="209" ht="17.5" customFormat="1" customHeight="1" s="770">
      <c r="A209" s="293" t="n"/>
    </row>
    <row r="210" ht="17.5" customFormat="1" customHeight="1" s="770">
      <c r="A210" s="293" t="n"/>
    </row>
    <row r="211" ht="17.5" customFormat="1" customHeight="1" s="770">
      <c r="A211" s="293" t="n"/>
    </row>
    <row r="212" ht="17.5" customFormat="1" customHeight="1" s="770">
      <c r="A212" s="293" t="n"/>
    </row>
    <row r="213" ht="17.5" customFormat="1" customHeight="1" s="770">
      <c r="A213" s="293" t="n"/>
    </row>
    <row r="214" ht="17.5" customFormat="1" customHeight="1" s="770">
      <c r="A214" s="293" t="n"/>
    </row>
    <row r="215" ht="17.5" customFormat="1" customHeight="1" s="770">
      <c r="A215" s="293" t="n"/>
    </row>
    <row r="216" ht="17.5" customFormat="1" customHeight="1" s="770">
      <c r="A216" s="293" t="n"/>
    </row>
    <row r="217" ht="17.5" customFormat="1" customHeight="1" s="770">
      <c r="A217" s="293" t="n"/>
    </row>
    <row r="218" ht="17.5" customFormat="1" customHeight="1" s="770">
      <c r="A218" s="293" t="n"/>
    </row>
    <row r="219" ht="17.5" customFormat="1" customHeight="1" s="770">
      <c r="A219" s="293" t="n"/>
    </row>
    <row r="220" ht="17.5" customFormat="1" customHeight="1" s="770">
      <c r="A220" s="293" t="n"/>
    </row>
    <row r="221" ht="17.5" customFormat="1" customHeight="1" s="770">
      <c r="A221" s="293" t="n"/>
    </row>
    <row r="222" ht="17.5" customFormat="1" customHeight="1" s="770">
      <c r="A222" s="293" t="n"/>
    </row>
    <row r="223" ht="17.5" customFormat="1" customHeight="1" s="770">
      <c r="A223" s="293" t="n"/>
    </row>
    <row r="224" ht="17.5" customFormat="1" customHeight="1" s="770">
      <c r="A224" s="293" t="n"/>
    </row>
    <row r="225" ht="17.5" customFormat="1" customHeight="1" s="770">
      <c r="A225" s="293" t="n"/>
    </row>
    <row r="226" ht="17.5" customFormat="1" customHeight="1" s="770">
      <c r="A226" s="293" t="n"/>
    </row>
    <row r="227" ht="17.5" customFormat="1" customHeight="1" s="770">
      <c r="A227" s="293" t="n"/>
    </row>
    <row r="228" ht="17.5" customFormat="1" customHeight="1" s="770">
      <c r="A228" s="293" t="n"/>
    </row>
    <row r="229" ht="17.5" customFormat="1" customHeight="1" s="770">
      <c r="A229" s="293" t="n"/>
    </row>
    <row r="230" ht="17.5" customFormat="1" customHeight="1" s="770">
      <c r="A230" s="293" t="n"/>
    </row>
    <row r="231" ht="17.5" customFormat="1" customHeight="1" s="770">
      <c r="A231" s="293" t="n"/>
    </row>
    <row r="232" ht="17.5" customFormat="1" customHeight="1" s="770">
      <c r="A232" s="293" t="n"/>
    </row>
    <row r="233" ht="17.5" customFormat="1" customHeight="1" s="770">
      <c r="A233" s="293" t="n"/>
    </row>
    <row r="234" ht="17.5" customFormat="1" customHeight="1" s="770">
      <c r="A234" s="293" t="n"/>
    </row>
    <row r="235" ht="17.5" customFormat="1" customHeight="1" s="770">
      <c r="A235" s="293" t="n"/>
    </row>
    <row r="236" ht="17.5" customFormat="1" customHeight="1" s="770">
      <c r="A236" s="293" t="n"/>
    </row>
    <row r="237" ht="17.5" customFormat="1" customHeight="1" s="770">
      <c r="A237" s="293" t="n"/>
    </row>
    <row r="238" ht="17.5" customFormat="1" customHeight="1" s="770">
      <c r="A238" s="293" t="n"/>
    </row>
    <row r="239" ht="17.5" customFormat="1" customHeight="1" s="770">
      <c r="A239" s="293" t="n"/>
    </row>
    <row r="240" ht="17.5" customFormat="1" customHeight="1" s="770">
      <c r="A240" s="293" t="n"/>
    </row>
    <row r="241" ht="17.5" customFormat="1" customHeight="1" s="770">
      <c r="A241" s="293" t="n"/>
    </row>
    <row r="242" ht="17.5" customFormat="1" customHeight="1" s="770">
      <c r="A242" s="293" t="n"/>
    </row>
    <row r="243" ht="17.5" customFormat="1" customHeight="1" s="770">
      <c r="A243" s="293" t="n"/>
    </row>
    <row r="244" ht="17.5" customFormat="1" customHeight="1" s="770">
      <c r="A244" s="293" t="n"/>
    </row>
    <row r="245" ht="17.5" customFormat="1" customHeight="1" s="770">
      <c r="A245" s="293" t="n"/>
    </row>
    <row r="246" ht="17.5" customFormat="1" customHeight="1" s="770">
      <c r="A246" s="293" t="n"/>
    </row>
    <row r="247" ht="17.5" customFormat="1" customHeight="1" s="770">
      <c r="A247" s="293" t="n"/>
    </row>
    <row r="248" ht="17.5" customFormat="1" customHeight="1" s="770">
      <c r="A248" s="293" t="n"/>
    </row>
    <row r="249" ht="17.5" customFormat="1" customHeight="1" s="770">
      <c r="A249" s="293" t="n"/>
    </row>
    <row r="250" ht="17.5" customFormat="1" customHeight="1" s="770">
      <c r="A250" s="293" t="n"/>
    </row>
    <row r="251" ht="17.5" customFormat="1" customHeight="1" s="770">
      <c r="A251" s="293" t="n"/>
    </row>
    <row r="252" ht="17.5" customFormat="1" customHeight="1" s="770">
      <c r="A252" s="293" t="n"/>
    </row>
    <row r="253" ht="17.5" customFormat="1" customHeight="1" s="770">
      <c r="A253" s="293" t="n"/>
    </row>
    <row r="254" ht="17.5" customFormat="1" customHeight="1" s="770">
      <c r="A254" s="293" t="n"/>
    </row>
    <row r="255" ht="17.5" customFormat="1" customHeight="1" s="770">
      <c r="A255" s="293" t="n"/>
    </row>
    <row r="256" ht="17.5" customFormat="1" customHeight="1" s="770">
      <c r="A256" s="293" t="n"/>
    </row>
    <row r="257" ht="17.5" customFormat="1" customHeight="1" s="770">
      <c r="A257" s="293" t="n"/>
    </row>
    <row r="258" ht="17.5" customFormat="1" customHeight="1" s="770">
      <c r="A258" s="293" t="n"/>
    </row>
    <row r="259" ht="17.5" customFormat="1" customHeight="1" s="770">
      <c r="A259" s="293" t="n"/>
    </row>
    <row r="260" ht="17.5" customFormat="1" customHeight="1" s="770">
      <c r="A260" s="293" t="n"/>
    </row>
    <row r="261" ht="17.5" customFormat="1" customHeight="1" s="770">
      <c r="A261" s="293" t="n"/>
    </row>
    <row r="262" ht="17.5" customFormat="1" customHeight="1" s="770">
      <c r="A262" s="293" t="n"/>
    </row>
    <row r="263" ht="17.5" customFormat="1" customHeight="1" s="770">
      <c r="A263" s="293" t="n"/>
    </row>
    <row r="264" ht="17.5" customFormat="1" customHeight="1" s="770">
      <c r="A264" s="293" t="n"/>
    </row>
    <row r="265" ht="17.5" customFormat="1" customHeight="1" s="770">
      <c r="A265" s="293" t="n"/>
    </row>
    <row r="266" ht="17.5" customFormat="1" customHeight="1" s="770">
      <c r="A266" s="293" t="n"/>
    </row>
    <row r="267" ht="17.5" customFormat="1" customHeight="1" s="770">
      <c r="A267" s="293" t="n"/>
    </row>
    <row r="268" ht="17.5" customFormat="1" customHeight="1" s="770">
      <c r="A268" s="293" t="n"/>
    </row>
    <row r="269" ht="17.5" customFormat="1" customHeight="1" s="770">
      <c r="A269" s="293" t="n"/>
    </row>
    <row r="270" ht="17.5" customFormat="1" customHeight="1" s="770">
      <c r="A270" s="293" t="n"/>
    </row>
    <row r="271" ht="17.5" customFormat="1" customHeight="1" s="770">
      <c r="A271" s="293" t="n"/>
    </row>
    <row r="272" ht="17.5" customFormat="1" customHeight="1" s="770">
      <c r="A272" s="293" t="n"/>
    </row>
    <row r="273" ht="17.5" customFormat="1" customHeight="1" s="770">
      <c r="A273" s="293" t="n"/>
    </row>
    <row r="274" ht="17.5" customFormat="1" customHeight="1" s="770">
      <c r="A274" s="293" t="n"/>
    </row>
    <row r="275" ht="17.5" customFormat="1" customHeight="1" s="770">
      <c r="A275" s="293" t="n"/>
    </row>
    <row r="276" ht="17.5" customFormat="1" customHeight="1" s="770">
      <c r="A276" s="293" t="n"/>
    </row>
    <row r="277" ht="17.5" customFormat="1" customHeight="1" s="770">
      <c r="A277" s="293" t="n"/>
    </row>
    <row r="278" ht="17.5" customFormat="1" customHeight="1" s="770">
      <c r="A278" s="293" t="n"/>
    </row>
    <row r="279" ht="17.5" customFormat="1" customHeight="1" s="770">
      <c r="A279" s="293" t="n"/>
    </row>
    <row r="280" ht="17.5" customFormat="1" customHeight="1" s="770">
      <c r="A280" s="293" t="n"/>
    </row>
    <row r="281" ht="17.5" customFormat="1" customHeight="1" s="770">
      <c r="A281" s="293" t="n"/>
    </row>
    <row r="282" ht="17.5" customFormat="1" customHeight="1" s="770">
      <c r="A282" s="293" t="n"/>
    </row>
    <row r="283" ht="17.5" customFormat="1" customHeight="1" s="770">
      <c r="A283" s="293" t="n"/>
    </row>
    <row r="284" ht="17.5" customFormat="1" customHeight="1" s="770">
      <c r="A284" s="293" t="n"/>
    </row>
    <row r="285" ht="17.5" customFormat="1" customHeight="1" s="770">
      <c r="A285" s="293" t="n"/>
    </row>
    <row r="286" ht="17.5" customFormat="1" customHeight="1" s="770">
      <c r="A286" s="293" t="n"/>
    </row>
    <row r="287" ht="17.5" customFormat="1" customHeight="1" s="770">
      <c r="A287" s="293" t="n"/>
    </row>
    <row r="288" ht="17.5" customFormat="1" customHeight="1" s="770">
      <c r="A288" s="293" t="n"/>
    </row>
    <row r="289" ht="17.5" customFormat="1" customHeight="1" s="770">
      <c r="A289" s="293" t="n"/>
    </row>
    <row r="290" ht="17.5" customFormat="1" customHeight="1" s="770">
      <c r="A290" s="293" t="n"/>
    </row>
    <row r="291" ht="17.5" customFormat="1" customHeight="1" s="770">
      <c r="A291" s="293" t="n"/>
    </row>
    <row r="292" ht="17.5" customFormat="1" customHeight="1" s="770">
      <c r="A292" s="293" t="n"/>
    </row>
    <row r="293" ht="17.5" customFormat="1" customHeight="1" s="770">
      <c r="A293" s="293" t="n"/>
    </row>
    <row r="294" ht="17.5" customFormat="1" customHeight="1" s="770">
      <c r="A294" s="293" t="n"/>
    </row>
    <row r="295" ht="17.5" customFormat="1" customHeight="1" s="770">
      <c r="A295" s="293" t="n"/>
    </row>
    <row r="296" ht="17.5" customFormat="1" customHeight="1" s="770">
      <c r="A296" s="293" t="n"/>
    </row>
    <row r="297" ht="17.5" customFormat="1" customHeight="1" s="770">
      <c r="A297" s="293" t="n"/>
    </row>
    <row r="298" ht="17.5" customFormat="1" customHeight="1" s="770">
      <c r="A298" s="293" t="n"/>
    </row>
    <row r="299" ht="17.5" customFormat="1" customHeight="1" s="770">
      <c r="A299" s="293" t="n"/>
    </row>
    <row r="300" ht="17.5" customFormat="1" customHeight="1" s="770">
      <c r="A300" s="293" t="n"/>
    </row>
    <row r="301" ht="17.5" customFormat="1" customHeight="1" s="770">
      <c r="A301" s="293" t="n"/>
    </row>
    <row r="302" ht="17.5" customFormat="1" customHeight="1" s="770">
      <c r="A302" s="293" t="n"/>
    </row>
    <row r="303" ht="17.5" customFormat="1" customHeight="1" s="770">
      <c r="A303" s="293" t="n"/>
    </row>
    <row r="304" ht="17.5" customFormat="1" customHeight="1" s="770">
      <c r="A304" s="293" t="n"/>
    </row>
    <row r="305" ht="17.5" customFormat="1" customHeight="1" s="770">
      <c r="A305" s="293" t="n"/>
    </row>
    <row r="306" ht="17.5" customFormat="1" customHeight="1" s="770">
      <c r="A306" s="293" t="n"/>
    </row>
    <row r="307" ht="17.5" customFormat="1" customHeight="1" s="770">
      <c r="A307" s="293" t="n"/>
    </row>
    <row r="308" ht="17.5" customFormat="1" customHeight="1" s="770">
      <c r="A308" s="293" t="n"/>
    </row>
    <row r="309" ht="17.5" customFormat="1" customHeight="1" s="770">
      <c r="A309" s="293" t="n"/>
    </row>
    <row r="310" ht="17.5" customFormat="1" customHeight="1" s="770">
      <c r="A310" s="293" t="n"/>
    </row>
    <row r="311" ht="17.5" customFormat="1" customHeight="1" s="770">
      <c r="A311" s="293" t="n"/>
    </row>
    <row r="312" ht="17.5" customFormat="1" customHeight="1" s="770">
      <c r="A312" s="293" t="n"/>
    </row>
    <row r="313" ht="17.5" customFormat="1" customHeight="1" s="770">
      <c r="A313" s="293" t="n"/>
    </row>
    <row r="314" ht="17.5" customFormat="1" customHeight="1" s="770">
      <c r="A314" s="293" t="n"/>
    </row>
    <row r="315" ht="17.5" customFormat="1" customHeight="1" s="770">
      <c r="A315" s="293" t="n"/>
    </row>
    <row r="316" ht="17.5" customFormat="1" customHeight="1" s="770">
      <c r="A316" s="293" t="n"/>
    </row>
    <row r="317" ht="17.5" customFormat="1" customHeight="1" s="770">
      <c r="A317" s="293" t="n"/>
    </row>
    <row r="318" ht="17.5" customFormat="1" customHeight="1" s="770">
      <c r="A318" s="293" t="n"/>
    </row>
    <row r="319" ht="17.5" customFormat="1" customHeight="1" s="770">
      <c r="A319" s="293" t="n"/>
    </row>
    <row r="320" ht="17.5" customFormat="1" customHeight="1" s="770">
      <c r="A320" s="293" t="n"/>
    </row>
    <row r="321" ht="17.5" customFormat="1" customHeight="1" s="770">
      <c r="A321" s="293" t="n"/>
    </row>
    <row r="322" ht="17.5" customFormat="1" customHeight="1" s="770">
      <c r="A322" s="293" t="n"/>
    </row>
    <row r="323" ht="17.5" customFormat="1" customHeight="1" s="770">
      <c r="A323" s="293" t="n"/>
    </row>
    <row r="324" ht="17.5" customFormat="1" customHeight="1" s="770">
      <c r="A324" s="293" t="n"/>
    </row>
    <row r="325" ht="17.5" customFormat="1" customHeight="1" s="770">
      <c r="A325" s="293" t="n"/>
    </row>
    <row r="326" ht="17.5" customFormat="1" customHeight="1" s="770">
      <c r="A326" s="293" t="n"/>
    </row>
    <row r="327" ht="17.5" customFormat="1" customHeight="1" s="770">
      <c r="A327" s="293" t="n"/>
    </row>
    <row r="328" ht="17.5" customFormat="1" customHeight="1" s="770">
      <c r="A328" s="293" t="n"/>
    </row>
    <row r="329" ht="17.5" customFormat="1" customHeight="1" s="770">
      <c r="A329" s="293" t="n"/>
    </row>
    <row r="330" ht="17.5" customFormat="1" customHeight="1" s="770">
      <c r="A330" s="293" t="n"/>
    </row>
    <row r="331" ht="17.5" customFormat="1" customHeight="1" s="770">
      <c r="A331" s="293" t="n"/>
    </row>
    <row r="332" ht="17.5" customFormat="1" customHeight="1" s="770">
      <c r="A332" s="293" t="n"/>
    </row>
    <row r="333" ht="17.5" customFormat="1" customHeight="1" s="770">
      <c r="A333" s="293" t="n"/>
    </row>
    <row r="334" ht="17.5" customFormat="1" customHeight="1" s="770">
      <c r="A334" s="293" t="n"/>
    </row>
    <row r="335" ht="17.5" customFormat="1" customHeight="1" s="770">
      <c r="A335" s="293" t="n"/>
    </row>
    <row r="336" ht="17.5" customFormat="1" customHeight="1" s="770">
      <c r="A336" s="293" t="n"/>
    </row>
    <row r="337" ht="17.5" customFormat="1" customHeight="1" s="770">
      <c r="A337" s="293" t="n"/>
    </row>
    <row r="338" ht="17.5" customFormat="1" customHeight="1" s="770">
      <c r="A338" s="293" t="n"/>
    </row>
    <row r="339" ht="17.5" customFormat="1" customHeight="1" s="770">
      <c r="A339" s="293" t="n"/>
    </row>
    <row r="340" ht="17.5" customFormat="1" customHeight="1" s="770">
      <c r="A340" s="293" t="n"/>
    </row>
    <row r="341" ht="17.5" customFormat="1" customHeight="1" s="770">
      <c r="A341" s="293" t="n"/>
    </row>
    <row r="342" ht="17.5" customFormat="1" customHeight="1" s="770">
      <c r="A342" s="293" t="n"/>
    </row>
    <row r="343" ht="17.5" customFormat="1" customHeight="1" s="770">
      <c r="A343" s="293" t="n"/>
    </row>
    <row r="344" ht="17.5" customFormat="1" customHeight="1" s="770">
      <c r="A344" s="293" t="n"/>
    </row>
    <row r="345" ht="17.5" customFormat="1" customHeight="1" s="770">
      <c r="A345" s="293" t="n"/>
    </row>
    <row r="346" ht="17.5" customFormat="1" customHeight="1" s="770">
      <c r="A346" s="293" t="n"/>
    </row>
    <row r="347" ht="17.5" customFormat="1" customHeight="1" s="770">
      <c r="A347" s="293" t="n"/>
    </row>
    <row r="348" ht="17.5" customFormat="1" customHeight="1" s="770">
      <c r="A348" s="293" t="n"/>
    </row>
    <row r="349" ht="17.5" customFormat="1" customHeight="1" s="770">
      <c r="A349" s="293" t="n"/>
    </row>
    <row r="350" ht="17.5" customFormat="1" customHeight="1" s="770">
      <c r="A350" s="293" t="n"/>
    </row>
    <row r="351" ht="17.5" customFormat="1" customHeight="1" s="770">
      <c r="A351" s="293" t="n"/>
    </row>
    <row r="352" ht="17.5" customFormat="1" customHeight="1" s="770">
      <c r="A352" s="293" t="n"/>
    </row>
    <row r="353" ht="17.5" customFormat="1" customHeight="1" s="770">
      <c r="A353" s="293" t="n"/>
    </row>
    <row r="354" ht="17.5" customFormat="1" customHeight="1" s="770">
      <c r="A354" s="293" t="n"/>
    </row>
    <row r="355" ht="17.5" customFormat="1" customHeight="1" s="770">
      <c r="A355" s="293" t="n"/>
    </row>
    <row r="356" ht="17.5" customFormat="1" customHeight="1" s="770">
      <c r="A356" s="293" t="n"/>
    </row>
    <row r="357" ht="17.5" customFormat="1" customHeight="1" s="770">
      <c r="A357" s="293" t="n"/>
    </row>
    <row r="358" ht="17.5" customFormat="1" customHeight="1" s="770">
      <c r="A358" s="293" t="n"/>
    </row>
    <row r="359" ht="17.5" customFormat="1" customHeight="1" s="770">
      <c r="A359" s="293" t="n"/>
    </row>
    <row r="360" ht="17.5" customFormat="1" customHeight="1" s="770">
      <c r="A360" s="293" t="n"/>
    </row>
    <row r="361" ht="17.5" customFormat="1" customHeight="1" s="770">
      <c r="A361" s="293" t="n"/>
    </row>
    <row r="362" ht="17.5" customFormat="1" customHeight="1" s="770">
      <c r="A362" s="293" t="n"/>
    </row>
    <row r="363" ht="17.5" customFormat="1" customHeight="1" s="770">
      <c r="A363" s="293" t="n"/>
    </row>
    <row r="364" ht="17.5" customFormat="1" customHeight="1" s="770">
      <c r="A364" s="293" t="n"/>
    </row>
    <row r="365" ht="17.5" customFormat="1" customHeight="1" s="770">
      <c r="A365" s="293" t="n"/>
    </row>
    <row r="366" ht="17.5" customFormat="1" customHeight="1" s="770">
      <c r="A366" s="293" t="n"/>
    </row>
    <row r="367" ht="17.5" customFormat="1" customHeight="1" s="770">
      <c r="A367" s="293" t="n"/>
    </row>
    <row r="368" ht="17.5" customFormat="1" customHeight="1" s="770">
      <c r="A368" s="293" t="n"/>
    </row>
    <row r="369" ht="17.5" customFormat="1" customHeight="1" s="770">
      <c r="A369" s="293" t="n"/>
    </row>
    <row r="370" ht="17.5" customFormat="1" customHeight="1" s="770">
      <c r="A370" s="293" t="n"/>
    </row>
    <row r="371" ht="17.5" customFormat="1" customHeight="1" s="770">
      <c r="A371" s="293" t="n"/>
    </row>
    <row r="372" ht="17.5" customFormat="1" customHeight="1" s="770">
      <c r="A372" s="293" t="n"/>
    </row>
    <row r="373" ht="17.5" customFormat="1" customHeight="1" s="770">
      <c r="A373" s="293" t="n"/>
    </row>
    <row r="374" ht="17.5" customFormat="1" customHeight="1" s="770">
      <c r="A374" s="293" t="n"/>
    </row>
    <row r="375" ht="17.5" customFormat="1" customHeight="1" s="770">
      <c r="A375" s="293" t="n"/>
    </row>
    <row r="376" ht="17.5" customFormat="1" customHeight="1" s="770">
      <c r="A376" s="293" t="n"/>
    </row>
    <row r="377" ht="17.5" customFormat="1" customHeight="1" s="770">
      <c r="A377" s="293" t="n"/>
    </row>
    <row r="378" ht="17.5" customFormat="1" customHeight="1" s="770">
      <c r="A378" s="293" t="n"/>
    </row>
    <row r="379" ht="17.5" customFormat="1" customHeight="1" s="770">
      <c r="A379" s="293" t="n"/>
    </row>
    <row r="380" ht="17.5" customFormat="1" customHeight="1" s="770">
      <c r="A380" s="293" t="n"/>
    </row>
    <row r="381" ht="17.5" customFormat="1" customHeight="1" s="770">
      <c r="A381" s="293" t="n"/>
    </row>
    <row r="382" ht="17.5" customFormat="1" customHeight="1" s="770">
      <c r="A382" s="293" t="n"/>
    </row>
    <row r="383" ht="17.5" customFormat="1" customHeight="1" s="770">
      <c r="A383" s="293" t="n"/>
    </row>
    <row r="384" ht="17.5" customFormat="1" customHeight="1" s="770">
      <c r="A384" s="293" t="n"/>
    </row>
    <row r="385" ht="17.5" customFormat="1" customHeight="1" s="770">
      <c r="A385" s="293" t="n"/>
    </row>
    <row r="386" ht="17.5" customFormat="1" customHeight="1" s="770">
      <c r="A386" s="293" t="n"/>
    </row>
    <row r="387" ht="17.5" customFormat="1" customHeight="1" s="770">
      <c r="A387" s="293" t="n"/>
    </row>
    <row r="388" ht="17.5" customFormat="1" customHeight="1" s="770">
      <c r="A388" s="293" t="n"/>
    </row>
    <row r="389" ht="17.5" customFormat="1" customHeight="1" s="770">
      <c r="A389" s="293" t="n"/>
    </row>
    <row r="390" ht="17.5" customFormat="1" customHeight="1" s="770">
      <c r="A390" s="293" t="n"/>
    </row>
    <row r="391" ht="17.5" customFormat="1" customHeight="1" s="770">
      <c r="A391" s="293" t="n"/>
    </row>
    <row r="392" ht="17.5" customFormat="1" customHeight="1" s="770">
      <c r="A392" s="293" t="n"/>
    </row>
    <row r="393" ht="17.5" customFormat="1" customHeight="1" s="770">
      <c r="A393" s="293" t="n"/>
    </row>
    <row r="394" ht="17.5" customFormat="1" customHeight="1" s="770">
      <c r="A394" s="293" t="n"/>
    </row>
    <row r="395" ht="17.5" customFormat="1" customHeight="1" s="770">
      <c r="A395" s="293" t="n"/>
    </row>
    <row r="396" ht="17.5" customFormat="1" customHeight="1" s="770">
      <c r="A396" s="293" t="n"/>
    </row>
    <row r="397" ht="17.5" customFormat="1" customHeight="1" s="770">
      <c r="A397" s="293" t="n"/>
    </row>
    <row r="398" ht="17.5" customFormat="1" customHeight="1" s="770">
      <c r="A398" s="293" t="n"/>
    </row>
    <row r="399" ht="17.5" customFormat="1" customHeight="1" s="770">
      <c r="A399" s="293" t="n"/>
    </row>
    <row r="400" ht="17.5" customFormat="1" customHeight="1" s="770">
      <c r="A400" s="293" t="n"/>
    </row>
    <row r="401" ht="17.5" customFormat="1" customHeight="1" s="770">
      <c r="A401" s="293" t="n"/>
    </row>
    <row r="402" ht="17.5" customFormat="1" customHeight="1" s="770">
      <c r="A402" s="293" t="n"/>
    </row>
    <row r="403" ht="17.5" customFormat="1" customHeight="1" s="770">
      <c r="A403" s="293" t="n"/>
    </row>
    <row r="404" ht="17.5" customFormat="1" customHeight="1" s="770">
      <c r="A404" s="293" t="n"/>
    </row>
    <row r="405" ht="17.5" customFormat="1" customHeight="1" s="770">
      <c r="A405" s="293" t="n"/>
    </row>
    <row r="406" ht="17.5" customFormat="1" customHeight="1" s="770">
      <c r="A406" s="293" t="n"/>
    </row>
    <row r="407" ht="17.5" customFormat="1" customHeight="1" s="770">
      <c r="A407" s="293" t="n"/>
    </row>
    <row r="408" ht="17.5" customFormat="1" customHeight="1" s="770">
      <c r="A408" s="293" t="n"/>
    </row>
    <row r="409" ht="17.5" customFormat="1" customHeight="1" s="770">
      <c r="A409" s="293" t="n"/>
    </row>
    <row r="410" ht="17.5" customFormat="1" customHeight="1" s="770">
      <c r="A410" s="293" t="n"/>
    </row>
    <row r="411" ht="17.5" customFormat="1" customHeight="1" s="770">
      <c r="A411" s="293" t="n"/>
    </row>
    <row r="412" ht="17.5" customFormat="1" customHeight="1" s="770">
      <c r="A412" s="293" t="n"/>
    </row>
    <row r="413" ht="17.5" customFormat="1" customHeight="1" s="770">
      <c r="A413" s="293" t="n"/>
    </row>
    <row r="414" ht="17.5" customFormat="1" customHeight="1" s="770">
      <c r="A414" s="293" t="n"/>
    </row>
    <row r="415" ht="17.5" customFormat="1" customHeight="1" s="770">
      <c r="A415" s="29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9nLPmwE4OjjbcMBV/M9E5w==" formatRows="1" sort="1" spinCount="100000" hashValue="O8Dt8Sodx7EK+U4kLWnUChr509wcl4WjwuWJ3pJIedvjegS7i9P7lHeDFjhQbMcVczFZp/yhDko64K1fQAOxWA=="/>
  <mergeCells count="23">
    <mergeCell ref="A21:A23"/>
    <mergeCell ref="A30:B30"/>
    <mergeCell ref="C21:C23"/>
    <mergeCell ref="C9:E9"/>
    <mergeCell ref="C10:D10"/>
    <mergeCell ref="E21:E23"/>
    <mergeCell ref="E31:E32"/>
    <mergeCell ref="C40:C41"/>
    <mergeCell ref="A9:A11"/>
    <mergeCell ref="A1:D1"/>
    <mergeCell ref="B21:B23"/>
    <mergeCell ref="A42:B42"/>
    <mergeCell ref="B31:C32"/>
    <mergeCell ref="D21:D23"/>
    <mergeCell ref="B40:B41"/>
    <mergeCell ref="A29:E29"/>
    <mergeCell ref="A38:E38"/>
    <mergeCell ref="D31:D32"/>
    <mergeCell ref="B9:B11"/>
    <mergeCell ref="A31:A32"/>
    <mergeCell ref="A40:A41"/>
    <mergeCell ref="A39:B39"/>
    <mergeCell ref="D40:D41"/>
  </mergeCells>
  <pageMargins left="0.7" right="0.7" top="0.75" bottom="0.75" header="0.511811023622047" footer="0.511811023622047"/>
  <pageSetup orientation="portrait" paperSize="9" scale="32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MK91"/>
  <sheetViews>
    <sheetView view="pageBreakPreview" topLeftCell="P65" zoomScale="60" zoomScaleNormal="60" workbookViewId="0">
      <selection activeCell="AC67" sqref="AC67"/>
    </sheetView>
  </sheetViews>
  <sheetFormatPr baseColWidth="10" defaultColWidth="10" defaultRowHeight="20.25" customHeight="1"/>
  <cols>
    <col collapsed="1" width="12.6328125" customWidth="1" style="416" min="1" max="1"/>
    <col collapsed="1" width="21.453125" customWidth="1" style="416" min="2" max="2"/>
    <col collapsed="1" width="14.08984375" customWidth="1" style="416" min="3" max="3"/>
    <col collapsed="1" width="19.54296875" customWidth="1" style="416" min="4" max="4"/>
    <col collapsed="1" width="17.81640625" customWidth="1" style="416" min="5" max="5"/>
    <col collapsed="1" width="20.36328125" customWidth="1" style="416" min="6" max="6"/>
    <col collapsed="1" width="16.1796875" customWidth="1" style="416" min="7" max="7"/>
    <col collapsed="1" width="16.7265625" customWidth="1" style="416" min="8" max="8"/>
    <col collapsed="1" width="17.08984375" customWidth="1" style="416" min="9" max="9"/>
    <col collapsed="1" width="14" customWidth="1" style="416" min="10" max="10"/>
    <col collapsed="1" width="19.1796875" customWidth="1" style="416" min="11" max="11"/>
    <col collapsed="1" width="19.26953125" customWidth="1" style="416" min="12" max="12"/>
    <col collapsed="1" width="11.453125" customWidth="1" style="416" min="13" max="13"/>
    <col collapsed="1" width="18.90625" customWidth="1" style="416" min="14" max="14"/>
    <col collapsed="1" width="14.90625" customWidth="1" style="416" min="15" max="15"/>
    <col collapsed="1" width="16.6328125" customWidth="1" style="416" min="16" max="16"/>
    <col collapsed="1" width="18.90625" bestFit="1" customWidth="1" style="416" min="17" max="17"/>
    <col collapsed="1" width="14" customWidth="1" style="416" min="18" max="19"/>
    <col collapsed="1" width="16.90625" customWidth="1" style="416" min="20" max="20"/>
    <col collapsed="1" width="19.81640625" customWidth="1" style="416" min="21" max="21"/>
    <col collapsed="1" width="19.26953125" customWidth="1" style="416" min="22" max="22"/>
    <col collapsed="1" width="12.26953125" customWidth="1" style="416" min="23" max="23"/>
    <col collapsed="1" width="17.81640625" customWidth="1" style="416" min="24" max="24"/>
    <col collapsed="1" width="18.453125" customWidth="1" style="416" min="25" max="25"/>
    <col collapsed="1" width="16.6328125" customWidth="1" style="416" min="26" max="26"/>
    <col collapsed="1" width="17.08984375" customWidth="1" style="416" min="27" max="27"/>
    <col collapsed="1" width="16.08984375" customWidth="1" style="416" min="28" max="28"/>
    <col collapsed="1" width="16.6328125" customWidth="1" style="416" min="29" max="29"/>
    <col collapsed="1" width="10" customWidth="1" style="416" min="30" max="16384"/>
  </cols>
  <sheetData>
    <row r="1" ht="15.75" customFormat="1" customHeight="1" s="409">
      <c r="A1" s="807" t="inlineStr">
        <is>
          <t>GRANDS RISQUES DU PORTEFEUILLE BANCAIRE ET DE NEGOCIATION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886" t="n"/>
      <c r="O1" s="886" t="n"/>
      <c r="P1" s="886" t="n"/>
      <c r="Q1" s="886" t="n"/>
      <c r="R1" s="886" t="n"/>
      <c r="S1" s="886" t="n"/>
      <c r="T1" s="886" t="n"/>
      <c r="U1" s="886" t="n"/>
      <c r="V1" s="886" t="n"/>
      <c r="W1" s="886" t="n"/>
      <c r="X1" s="886" t="n"/>
      <c r="Y1" s="886" t="n"/>
      <c r="Z1" s="886" t="n"/>
      <c r="AA1" s="886" t="n"/>
      <c r="AB1" s="886" t="n"/>
      <c r="AC1" s="983" t="inlineStr">
        <is>
          <t>EP29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984" t="n"/>
      <c r="L2" s="984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  <c r="AMJ2" s="409" t="n"/>
      <c r="AMK2" s="409" t="n"/>
    </row>
    <row r="3" ht="20" customHeight="1" s="885">
      <c r="B3" s="417" t="n"/>
      <c r="E3" s="986" t="n"/>
      <c r="F3" s="986" t="n"/>
      <c r="G3" s="986" t="n"/>
      <c r="H3" s="986" t="n"/>
      <c r="I3" s="986" t="n"/>
      <c r="J3" s="986" t="n"/>
      <c r="K3" s="986" t="n"/>
      <c r="L3" s="986" t="n"/>
    </row>
    <row r="4" ht="9.75" customHeight="1" s="885">
      <c r="A4" s="417" t="n"/>
      <c r="C4" s="986" t="n"/>
      <c r="E4" s="986" t="n"/>
      <c r="F4" s="986" t="n"/>
      <c r="G4" s="986" t="n"/>
      <c r="H4" s="986" t="n"/>
      <c r="I4" s="986" t="n"/>
      <c r="J4" s="986" t="n"/>
      <c r="K4" s="986" t="n"/>
      <c r="L4" s="986" t="n"/>
    </row>
    <row r="5" ht="20" customHeight="1" s="885">
      <c r="A5" s="417" t="n"/>
      <c r="C5" s="986" t="n"/>
      <c r="E5" s="986" t="n"/>
      <c r="F5" s="986" t="n"/>
      <c r="G5" s="986" t="n"/>
      <c r="H5" s="986" t="n"/>
      <c r="I5" s="986" t="n"/>
      <c r="J5" s="986" t="n"/>
      <c r="K5" s="986" t="n"/>
      <c r="L5" s="986" t="n"/>
    </row>
    <row r="6" ht="20" customHeight="1" s="885">
      <c r="C6" s="986" t="n"/>
      <c r="E6" s="986" t="n"/>
      <c r="F6" s="986" t="n"/>
      <c r="G6" s="986" t="n"/>
      <c r="H6" s="986" t="n"/>
      <c r="I6" s="986" t="n"/>
      <c r="J6" s="986" t="n"/>
      <c r="K6" s="986" t="n"/>
      <c r="L6" s="986" t="n"/>
    </row>
    <row r="7" ht="20" customFormat="1" customHeight="1" s="409"/>
    <row r="8" ht="20" customFormat="1" customHeight="1" s="409"/>
    <row r="9" ht="39" customFormat="1" customHeight="1" s="597">
      <c r="A9" s="804" t="inlineStr">
        <is>
          <t>Code DISPRU</t>
        </is>
      </c>
      <c r="B9" s="851" t="inlineStr">
        <is>
          <t>CONTREPARTIE</t>
        </is>
      </c>
      <c r="C9" s="894" t="n"/>
      <c r="D9" s="894" t="n"/>
      <c r="E9" s="894" t="n"/>
      <c r="F9" s="895" t="n"/>
      <c r="G9" s="850" t="inlineStr">
        <is>
          <t>EXPOSITONS INITIALES</t>
        </is>
      </c>
      <c r="H9" s="894" t="n"/>
      <c r="I9" s="894" t="n"/>
      <c r="J9" s="894" t="n"/>
      <c r="K9" s="894" t="n"/>
      <c r="L9" s="894" t="n"/>
      <c r="M9" s="894" t="n"/>
      <c r="N9" s="895" t="n"/>
      <c r="O9" s="850" t="inlineStr">
        <is>
          <t>(-) Provisions</t>
        </is>
      </c>
      <c r="P9" s="850" t="inlineStr">
        <is>
          <t>(-) Expositions déduites des fonds propres</t>
        </is>
      </c>
      <c r="Q9" s="850" t="inlineStr">
        <is>
          <t xml:space="preserve">Expositions nettes avant application des exemptions et de l'ARC </t>
        </is>
      </c>
      <c r="R9" s="929" t="n"/>
      <c r="S9" s="850" t="inlineStr">
        <is>
          <t>TECHNIQUES D'ATTÉNUATION DU RISQUE DE CRÉDIT (ARC) ÉLIGIBLES</t>
        </is>
      </c>
      <c r="T9" s="894" t="n"/>
      <c r="U9" s="894" t="n"/>
      <c r="V9" s="894" t="n"/>
      <c r="W9" s="894" t="n"/>
      <c r="X9" s="894" t="n"/>
      <c r="Y9" s="895" t="n"/>
      <c r="Z9" s="850" t="inlineStr">
        <is>
          <t>(-) Montants exemptés</t>
        </is>
      </c>
      <c r="AA9" s="850" t="inlineStr">
        <is>
          <t xml:space="preserve">Expositions nettes après application des exemptions et de l'ARC </t>
        </is>
      </c>
      <c r="AB9" s="850" t="inlineStr">
        <is>
          <t>Actifs pondérés des risques</t>
        </is>
      </c>
      <c r="AC9" s="850" t="inlineStr">
        <is>
          <t>Rapport entre actifs pondérés des risques et des fonds propres de base T1 ( %)</t>
        </is>
      </c>
    </row>
    <row r="10" ht="12.75" customFormat="1" customHeight="1" s="597">
      <c r="A10" s="958" t="n"/>
      <c r="B10" s="851" t="inlineStr">
        <is>
          <t>No d'identification Centrale des risques</t>
        </is>
      </c>
      <c r="C10" s="851" t="inlineStr">
        <is>
          <t>Groupe ou individuel</t>
        </is>
      </c>
      <c r="D10" s="851" t="inlineStr">
        <is>
          <t>Nom</t>
        </is>
      </c>
      <c r="E10" s="851" t="inlineStr">
        <is>
          <t>Pays de résidence</t>
        </is>
      </c>
      <c r="F10" s="851" t="inlineStr">
        <is>
          <t>Secteur d'activités</t>
        </is>
      </c>
      <c r="G10" s="598" t="n"/>
      <c r="H10" s="599" t="n"/>
      <c r="I10" s="599" t="n"/>
      <c r="J10" s="599" t="n"/>
      <c r="K10" s="599" t="n"/>
      <c r="L10" s="599" t="n"/>
      <c r="M10" s="599" t="n"/>
      <c r="N10" s="600" t="n"/>
      <c r="O10" s="958" t="n"/>
      <c r="P10" s="958" t="n"/>
      <c r="Q10" s="959" t="n"/>
      <c r="R10" s="957" t="n"/>
      <c r="S10" s="850" t="inlineStr">
        <is>
          <t xml:space="preserve">(-) Effet des techniques d'atténuation du risque de crédit (approche simple) </t>
        </is>
      </c>
      <c r="T10" s="928" t="n"/>
      <c r="U10" s="928" t="n"/>
      <c r="V10" s="928" t="n"/>
      <c r="W10" s="928" t="n"/>
      <c r="X10" s="929" t="n"/>
      <c r="Y10" s="850" t="inlineStr">
        <is>
          <t>(-) Effet des techniques d'atténuation du risque de crédit (approche globale)</t>
        </is>
      </c>
      <c r="Z10" s="958" t="n"/>
      <c r="AA10" s="958" t="n"/>
      <c r="AB10" s="958" t="n"/>
      <c r="AC10" s="958" t="n"/>
    </row>
    <row r="11" ht="12.75" customFormat="1" customHeight="1" s="597">
      <c r="A11" s="958" t="n"/>
      <c r="B11" s="958" t="n"/>
      <c r="C11" s="958" t="n"/>
      <c r="D11" s="958" t="n"/>
      <c r="E11" s="958" t="n"/>
      <c r="F11" s="958" t="n"/>
      <c r="G11" s="852" t="inlineStr">
        <is>
          <t>Exposition initiale totale</t>
        </is>
      </c>
      <c r="H11" s="600" t="n"/>
      <c r="I11" s="850" t="inlineStr">
        <is>
          <t xml:space="preserve">Expositions brutes </t>
        </is>
      </c>
      <c r="J11" s="928" t="n"/>
      <c r="K11" s="928" t="n"/>
      <c r="L11" s="928" t="n"/>
      <c r="M11" s="928" t="n"/>
      <c r="N11" s="929" t="n"/>
      <c r="O11" s="958" t="n"/>
      <c r="P11" s="958" t="n"/>
      <c r="Q11" s="959" t="n"/>
      <c r="R11" s="957" t="n"/>
      <c r="S11" s="959" t="n"/>
      <c r="T11" s="886" t="n"/>
      <c r="U11" s="886" t="n"/>
      <c r="V11" s="886" t="n"/>
      <c r="W11" s="886" t="n"/>
      <c r="X11" s="957" t="n"/>
      <c r="Y11" s="958" t="n"/>
      <c r="Z11" s="958" t="n"/>
      <c r="AA11" s="958" t="n"/>
      <c r="AB11" s="958" t="n"/>
      <c r="AC11" s="958" t="n"/>
    </row>
    <row r="12" ht="32.25" customFormat="1" customHeight="1" s="597">
      <c r="A12" s="958" t="n"/>
      <c r="B12" s="958" t="n"/>
      <c r="C12" s="958" t="n"/>
      <c r="D12" s="958" t="n"/>
      <c r="E12" s="958" t="n"/>
      <c r="F12" s="958" t="n"/>
      <c r="G12" s="959" t="n"/>
      <c r="H12" s="601" t="n"/>
      <c r="I12" s="962" t="n"/>
      <c r="J12" s="956" t="n"/>
      <c r="K12" s="956" t="n"/>
      <c r="L12" s="956" t="n"/>
      <c r="M12" s="956" t="n"/>
      <c r="N12" s="897" t="n"/>
      <c r="O12" s="958" t="n"/>
      <c r="P12" s="958" t="n"/>
      <c r="Q12" s="962" t="n"/>
      <c r="R12" s="897" t="n"/>
      <c r="S12" s="962" t="n"/>
      <c r="T12" s="956" t="n"/>
      <c r="U12" s="956" t="n"/>
      <c r="V12" s="956" t="n"/>
      <c r="W12" s="956" t="n"/>
      <c r="X12" s="897" t="n"/>
      <c r="Y12" s="958" t="n"/>
      <c r="Z12" s="958" t="n"/>
      <c r="AA12" s="958" t="n"/>
      <c r="AB12" s="958" t="n"/>
      <c r="AC12" s="958" t="n"/>
    </row>
    <row r="13" ht="27.75" customFormat="1" customHeight="1" s="597">
      <c r="A13" s="958" t="n"/>
      <c r="B13" s="958" t="n"/>
      <c r="C13" s="958" t="n"/>
      <c r="D13" s="958" t="n"/>
      <c r="E13" s="958" t="n"/>
      <c r="F13" s="958" t="n"/>
      <c r="G13" s="959" t="n"/>
      <c r="H13" s="853" t="inlineStr">
        <is>
          <t>Dont : en souffrance</t>
        </is>
      </c>
      <c r="I13" s="854" t="inlineStr">
        <is>
          <t>Bilan</t>
        </is>
      </c>
      <c r="J13" s="894" t="n"/>
      <c r="K13" s="894" t="n"/>
      <c r="L13" s="850" t="inlineStr">
        <is>
          <t>Hors bilan (après FCEC)</t>
        </is>
      </c>
      <c r="M13" s="894" t="n"/>
      <c r="N13" s="895" t="n"/>
      <c r="O13" s="958" t="n"/>
      <c r="P13" s="958" t="n"/>
      <c r="Q13" s="850" t="inlineStr">
        <is>
          <t xml:space="preserve">Total </t>
        </is>
      </c>
      <c r="R13" s="850" t="inlineStr">
        <is>
          <t>% des fonds propres de base T1</t>
        </is>
      </c>
      <c r="S13" s="850" t="inlineStr">
        <is>
          <t>Bilan</t>
        </is>
      </c>
      <c r="T13" s="894" t="n"/>
      <c r="U13" s="895" t="n"/>
      <c r="V13" s="850" t="inlineStr">
        <is>
          <t>Hors bilan</t>
        </is>
      </c>
      <c r="W13" s="894" t="n"/>
      <c r="X13" s="895" t="n"/>
      <c r="Y13" s="958" t="n"/>
      <c r="Z13" s="958" t="n"/>
      <c r="AA13" s="958" t="n"/>
      <c r="AB13" s="958" t="n"/>
      <c r="AC13" s="958" t="n"/>
    </row>
    <row r="14" ht="155.25" customFormat="1" customHeight="1" s="412">
      <c r="A14" s="896" t="n"/>
      <c r="B14" s="896" t="n"/>
      <c r="C14" s="896" t="n"/>
      <c r="D14" s="896" t="n"/>
      <c r="E14" s="896" t="n"/>
      <c r="F14" s="896" t="n"/>
      <c r="G14" s="962" t="n"/>
      <c r="H14" s="896" t="n"/>
      <c r="I14" s="602" t="inlineStr">
        <is>
          <t>Prêts, avances, crédits-bails</t>
        </is>
      </c>
      <c r="J14" s="602" t="inlineStr">
        <is>
          <t>Titres de créances</t>
        </is>
      </c>
      <c r="K14" s="602" t="inlineStr">
        <is>
          <t>Participations</t>
        </is>
      </c>
      <c r="L14" s="602" t="inlineStr">
        <is>
          <t>Engagements de financement</t>
        </is>
      </c>
      <c r="M14" s="602" t="inlineStr">
        <is>
          <t>Dérivés</t>
        </is>
      </c>
      <c r="N14" s="602" t="inlineStr">
        <is>
          <t>Autres engagements</t>
        </is>
      </c>
      <c r="O14" s="896" t="n"/>
      <c r="P14" s="896" t="n"/>
      <c r="Q14" s="896" t="n"/>
      <c r="R14" s="896" t="n"/>
      <c r="S14" s="850" t="inlineStr">
        <is>
          <t>Prêts, avances, crédits-bails</t>
        </is>
      </c>
      <c r="T14" s="850" t="inlineStr">
        <is>
          <t>Titres de créances</t>
        </is>
      </c>
      <c r="U14" s="850" t="inlineStr">
        <is>
          <t>Participations</t>
        </is>
      </c>
      <c r="V14" s="850" t="inlineStr">
        <is>
          <t>Engagements de financement</t>
        </is>
      </c>
      <c r="W14" s="850" t="inlineStr">
        <is>
          <t>Dérivés</t>
        </is>
      </c>
      <c r="X14" s="850" t="inlineStr">
        <is>
          <t>Autres engagements</t>
        </is>
      </c>
      <c r="Y14" s="896" t="n"/>
      <c r="Z14" s="896" t="n"/>
      <c r="AA14" s="896" t="n"/>
      <c r="AB14" s="896" t="n"/>
      <c r="AC14" s="896" t="n"/>
    </row>
    <row r="15" ht="133.5" customFormat="1" customHeight="1" s="605">
      <c r="A15" s="847" t="n"/>
      <c r="B15" s="1010" t="n"/>
      <c r="C15" s="1010" t="n"/>
      <c r="D15" s="1010" t="n"/>
      <c r="E15" s="1010" t="n"/>
      <c r="F15" s="1010" t="n"/>
      <c r="G15" s="1010" t="n"/>
      <c r="H15" s="1011" t="n"/>
      <c r="I15" s="847" t="inlineStr">
        <is>
          <t>(a)</t>
        </is>
      </c>
      <c r="J15" s="847" t="inlineStr">
        <is>
          <t>(b)</t>
        </is>
      </c>
      <c r="K15" s="847" t="inlineStr">
        <is>
          <t>(c)</t>
        </is>
      </c>
      <c r="L15" s="847" t="inlineStr">
        <is>
          <t>(d)</t>
        </is>
      </c>
      <c r="M15" s="847" t="inlineStr">
        <is>
          <t>(e)</t>
        </is>
      </c>
      <c r="N15" s="847" t="inlineStr">
        <is>
          <t>(f)</t>
        </is>
      </c>
      <c r="O15" s="603" t="inlineStr">
        <is>
          <t>(g)</t>
        </is>
      </c>
      <c r="P15" s="603" t="inlineStr">
        <is>
          <t>(h)</t>
        </is>
      </c>
      <c r="Q15" s="604" t="inlineStr">
        <is>
          <t>(i)= a+b+c+d+e+f+g+h</t>
        </is>
      </c>
      <c r="R15" s="603" t="inlineStr">
        <is>
          <t>(j)=i/FPB</t>
        </is>
      </c>
      <c r="S15" s="603" t="inlineStr">
        <is>
          <t>(k)</t>
        </is>
      </c>
      <c r="T15" s="603" t="inlineStr">
        <is>
          <t>(l)</t>
        </is>
      </c>
      <c r="U15" s="603" t="inlineStr">
        <is>
          <t>(m)</t>
        </is>
      </c>
      <c r="V15" s="603" t="inlineStr">
        <is>
          <t>(n)</t>
        </is>
      </c>
      <c r="W15" s="603" t="inlineStr">
        <is>
          <t>(o)</t>
        </is>
      </c>
      <c r="X15" s="603" t="inlineStr">
        <is>
          <t>(p)</t>
        </is>
      </c>
      <c r="Y15" s="603" t="inlineStr">
        <is>
          <t>(q)</t>
        </is>
      </c>
      <c r="Z15" s="603" t="inlineStr">
        <is>
          <t>(r)</t>
        </is>
      </c>
      <c r="AA15" s="604" t="inlineStr">
        <is>
          <t>(s)= i+k+l+m+n+o+p+q+r</t>
        </is>
      </c>
      <c r="AB15" s="604" t="inlineStr">
        <is>
          <t>(t)= somme (exposition nette individuelle x pondération applicable)</t>
        </is>
      </c>
      <c r="AC15" s="603" t="inlineStr">
        <is>
          <t>(u)= t/FPB</t>
        </is>
      </c>
    </row>
    <row r="16" ht="30" customFormat="1" customHeight="1" s="605">
      <c r="A16" s="431" t="inlineStr">
        <is>
          <t>GR001</t>
        </is>
      </c>
      <c r="B16" s="606" t="inlineStr">
        <is>
          <t> </t>
        </is>
      </c>
      <c r="C16" s="606" t="n"/>
      <c r="D16" s="606" t="n"/>
      <c r="E16" s="606" t="n"/>
      <c r="F16" s="606" t="n"/>
      <c r="G16" s="606" t="n"/>
      <c r="H16" s="606" t="n"/>
      <c r="I16" s="606" t="n"/>
      <c r="J16" s="606" t="n"/>
      <c r="K16" s="606" t="n"/>
      <c r="L16" s="606" t="n"/>
      <c r="M16" s="606" t="n"/>
      <c r="N16" s="606">
        <f>70.500421*0.5</f>
        <v/>
      </c>
      <c r="O16" s="429" t="n"/>
      <c r="P16" s="429" t="n"/>
      <c r="Q16" s="429">
        <f>I16+J16+K16+L16+M16+N16+O16+P16</f>
        <v/>
      </c>
      <c r="R16" s="429">
        <f>Q16/40759</f>
        <v/>
      </c>
      <c r="S16" s="429" t="n"/>
      <c r="T16" s="429" t="n"/>
      <c r="U16" s="429" t="n"/>
      <c r="V16" s="429" t="n"/>
      <c r="W16" s="429" t="n"/>
      <c r="X16" s="429" t="n"/>
      <c r="Y16" s="429" t="n"/>
      <c r="Z16" s="429" t="n"/>
      <c r="AA16" s="429">
        <f>Q16+S16+T16+U16+V16+W16+X16+Y16+Z16</f>
        <v/>
      </c>
      <c r="AB16" s="429">
        <f>+AA16</f>
        <v/>
      </c>
      <c r="AC16" s="429">
        <f>AB16/40759</f>
        <v/>
      </c>
    </row>
    <row r="17" ht="30" customFormat="1" customHeight="1" s="605">
      <c r="A17" s="431" t="inlineStr">
        <is>
          <t>GR002</t>
        </is>
      </c>
      <c r="B17" s="606" t="inlineStr">
        <is>
          <t> </t>
        </is>
      </c>
      <c r="C17" s="606" t="n"/>
      <c r="D17" s="606" t="n"/>
      <c r="E17" s="606" t="n"/>
      <c r="F17" s="606" t="n"/>
      <c r="G17" s="606" t="n"/>
      <c r="H17" s="606" t="n"/>
      <c r="I17" s="606" t="n"/>
      <c r="J17" s="606" t="n"/>
      <c r="K17" s="606" t="n"/>
      <c r="L17" s="606" t="n"/>
      <c r="M17" s="606" t="n"/>
      <c r="N17" s="606" t="n"/>
      <c r="O17" s="429" t="n"/>
      <c r="P17" s="429" t="n"/>
      <c r="Q17" s="429">
        <f>I17+J17+K17+L17+M17+N17+O17+P17</f>
        <v/>
      </c>
      <c r="R17" s="429">
        <f>Q17/40759</f>
        <v/>
      </c>
      <c r="S17" s="429" t="n"/>
      <c r="T17" s="429" t="n"/>
      <c r="U17" s="429" t="n"/>
      <c r="V17" s="429" t="n"/>
      <c r="W17" s="429" t="n"/>
      <c r="X17" s="429" t="n"/>
      <c r="Y17" s="429" t="n"/>
      <c r="Z17" s="429" t="n"/>
      <c r="AA17" s="429">
        <f>Q17+S17+T17+U17+V17+W17+X17+Y17+Z17</f>
        <v/>
      </c>
      <c r="AB17" s="429">
        <f>AA17-S17*0.5</f>
        <v/>
      </c>
      <c r="AC17" s="429">
        <f>AB17/40759</f>
        <v/>
      </c>
    </row>
    <row r="18" ht="30" customFormat="1" customHeight="1" s="605">
      <c r="A18" s="431" t="inlineStr">
        <is>
          <t>GR003</t>
        </is>
      </c>
      <c r="B18" s="606" t="inlineStr">
        <is>
          <t> </t>
        </is>
      </c>
      <c r="C18" s="606" t="n"/>
      <c r="D18" s="606" t="n"/>
      <c r="E18" s="606" t="n"/>
      <c r="F18" s="606" t="n"/>
      <c r="G18" s="606" t="n"/>
      <c r="H18" s="606" t="n"/>
      <c r="I18" s="606" t="n"/>
      <c r="J18" s="606" t="n"/>
      <c r="K18" s="606" t="n"/>
      <c r="L18" s="606" t="n"/>
      <c r="M18" s="606" t="n"/>
      <c r="N18" s="606" t="n"/>
      <c r="O18" s="429" t="n"/>
      <c r="P18" s="429" t="n"/>
      <c r="Q18" s="429">
        <f>I18+J18+K18+L18+M18+N18+O18+P18</f>
        <v/>
      </c>
      <c r="R18" s="429">
        <f>Q18/40759</f>
        <v/>
      </c>
      <c r="S18" s="429" t="n"/>
      <c r="T18" s="429" t="n"/>
      <c r="U18" s="429" t="n"/>
      <c r="V18" s="429" t="n"/>
      <c r="W18" s="429" t="n"/>
      <c r="X18" s="429" t="n"/>
      <c r="Y18" s="429" t="n"/>
      <c r="Z18" s="429" t="n"/>
      <c r="AA18" s="429">
        <f>Q18+S18+T18+U18+V18+W18+X18+Y18+Z18</f>
        <v/>
      </c>
      <c r="AB18" s="429">
        <f>AA18-S18*0.5</f>
        <v/>
      </c>
      <c r="AC18" s="429">
        <f>AB18/40759</f>
        <v/>
      </c>
    </row>
    <row r="19" ht="30" customFormat="1" customHeight="1" s="605">
      <c r="A19" s="431" t="inlineStr">
        <is>
          <t>GR004</t>
        </is>
      </c>
      <c r="B19" s="606" t="inlineStr">
        <is>
          <t> </t>
        </is>
      </c>
      <c r="C19" s="606" t="n"/>
      <c r="D19" s="606" t="n"/>
      <c r="E19" s="606" t="n"/>
      <c r="F19" s="606" t="n"/>
      <c r="G19" s="606" t="n"/>
      <c r="H19" s="606" t="n"/>
      <c r="I19" s="606" t="n"/>
      <c r="J19" s="606" t="n"/>
      <c r="K19" s="606" t="n"/>
      <c r="L19" s="606" t="n"/>
      <c r="M19" s="606" t="n"/>
      <c r="N19" s="606" t="n"/>
      <c r="O19" s="429" t="n"/>
      <c r="P19" s="429" t="n"/>
      <c r="Q19" s="429">
        <f>I19+J19+K19+L19+M19+N19+O19+P19</f>
        <v/>
      </c>
      <c r="R19" s="429">
        <f>Q19/40759</f>
        <v/>
      </c>
      <c r="S19" s="429" t="n"/>
      <c r="T19" s="429" t="n"/>
      <c r="U19" s="429" t="n"/>
      <c r="V19" s="429" t="n"/>
      <c r="W19" s="429" t="n"/>
      <c r="X19" s="429" t="n"/>
      <c r="Y19" s="429" t="n"/>
      <c r="Z19" s="429" t="n"/>
      <c r="AA19" s="429">
        <f>Q19+S19+T19+U19+V19+W19+X19+Y19+Z19</f>
        <v/>
      </c>
      <c r="AB19" s="429">
        <f>AA19-S19*0.5</f>
        <v/>
      </c>
      <c r="AC19" s="429">
        <f>AB19/40759</f>
        <v/>
      </c>
    </row>
    <row r="20" ht="30" customFormat="1" customHeight="1" s="605">
      <c r="A20" s="431" t="inlineStr">
        <is>
          <t>GR005</t>
        </is>
      </c>
      <c r="B20" s="606" t="inlineStr">
        <is>
          <t> </t>
        </is>
      </c>
      <c r="C20" s="606" t="n"/>
      <c r="D20" s="606" t="n"/>
      <c r="E20" s="606" t="n"/>
      <c r="F20" s="606" t="n"/>
      <c r="G20" s="606" t="n"/>
      <c r="H20" s="606" t="n"/>
      <c r="I20" s="606" t="n"/>
      <c r="J20" s="606" t="n"/>
      <c r="K20" s="606" t="n"/>
      <c r="L20" s="606" t="n"/>
      <c r="M20" s="606" t="n"/>
      <c r="N20" s="606" t="n"/>
      <c r="O20" s="429" t="n"/>
      <c r="P20" s="429" t="n"/>
      <c r="Q20" s="429">
        <f>I20+J20+K20+L20+M20+N20+O20+P20</f>
        <v/>
      </c>
      <c r="R20" s="429">
        <f>Q20/40759</f>
        <v/>
      </c>
      <c r="S20" s="429" t="n"/>
      <c r="T20" s="429" t="n"/>
      <c r="U20" s="429" t="n"/>
      <c r="V20" s="429" t="n"/>
      <c r="W20" s="429" t="n"/>
      <c r="X20" s="429" t="n"/>
      <c r="Y20" s="429" t="n"/>
      <c r="Z20" s="429" t="n"/>
      <c r="AA20" s="429">
        <f>Q20+S20+T20+U20+V20+W20+X20+Y20+Z20</f>
        <v/>
      </c>
      <c r="AB20" s="429">
        <f>AA20-S20*0.5</f>
        <v/>
      </c>
      <c r="AC20" s="429">
        <f>AB20/40759</f>
        <v/>
      </c>
    </row>
    <row r="21" ht="30" customFormat="1" customHeight="1" s="605">
      <c r="A21" s="431" t="inlineStr">
        <is>
          <t>GR006</t>
        </is>
      </c>
      <c r="B21" s="606" t="inlineStr">
        <is>
          <t> </t>
        </is>
      </c>
      <c r="C21" s="606" t="n"/>
      <c r="D21" s="606" t="n"/>
      <c r="E21" s="606" t="n"/>
      <c r="F21" s="606" t="n"/>
      <c r="G21" s="606" t="n"/>
      <c r="H21" s="606" t="n"/>
      <c r="I21" s="606" t="n"/>
      <c r="J21" s="606" t="n"/>
      <c r="K21" s="606" t="n"/>
      <c r="L21" s="606" t="n"/>
      <c r="M21" s="606" t="n"/>
      <c r="N21" s="606" t="n"/>
      <c r="O21" s="429" t="n"/>
      <c r="P21" s="429" t="n"/>
      <c r="Q21" s="429">
        <f>I21+J21+K21+L21+M21+N21+O21+P21</f>
        <v/>
      </c>
      <c r="R21" s="429">
        <f>Q21/40759</f>
        <v/>
      </c>
      <c r="S21" s="429" t="n"/>
      <c r="T21" s="429" t="n"/>
      <c r="U21" s="429" t="n"/>
      <c r="V21" s="429" t="n"/>
      <c r="W21" s="429" t="n"/>
      <c r="X21" s="429" t="n"/>
      <c r="Y21" s="429" t="n"/>
      <c r="Z21" s="429" t="n"/>
      <c r="AA21" s="429">
        <f>Q21+S21+T21+U21+V21+W21+X21+Y21+Z21</f>
        <v/>
      </c>
      <c r="AB21" s="429">
        <f>AA21-S21*0.5</f>
        <v/>
      </c>
      <c r="AC21" s="429">
        <f>AB21/40759</f>
        <v/>
      </c>
    </row>
    <row r="22" ht="30" customFormat="1" customHeight="1" s="605">
      <c r="A22" s="431" t="inlineStr">
        <is>
          <t>GR007</t>
        </is>
      </c>
      <c r="B22" s="606" t="inlineStr">
        <is>
          <t> </t>
        </is>
      </c>
      <c r="C22" s="606" t="n"/>
      <c r="D22" s="606" t="n"/>
      <c r="E22" s="606" t="n"/>
      <c r="F22" s="606" t="n"/>
      <c r="G22" s="606" t="n"/>
      <c r="H22" s="606" t="n"/>
      <c r="I22" s="606" t="n"/>
      <c r="J22" s="606" t="n"/>
      <c r="K22" s="606" t="n"/>
      <c r="L22" s="606" t="n"/>
      <c r="M22" s="606" t="n"/>
      <c r="N22" s="606" t="n"/>
      <c r="O22" s="429" t="n"/>
      <c r="P22" s="429" t="n"/>
      <c r="Q22" s="429">
        <f>I22+J22+K22+L22+M22+N22+O22+P22</f>
        <v/>
      </c>
      <c r="R22" s="429">
        <f>Q22/40759</f>
        <v/>
      </c>
      <c r="S22" s="429" t="n"/>
      <c r="T22" s="429" t="n"/>
      <c r="U22" s="429" t="n"/>
      <c r="V22" s="429" t="n"/>
      <c r="W22" s="429" t="n"/>
      <c r="X22" s="429" t="n"/>
      <c r="Y22" s="429" t="n"/>
      <c r="Z22" s="429" t="n"/>
      <c r="AA22" s="429">
        <f>Q22+S22+T22+U22+V22+W22+X22+Y22+Z22</f>
        <v/>
      </c>
      <c r="AB22" s="429">
        <f>AA22-S22*0.5</f>
        <v/>
      </c>
      <c r="AC22" s="429">
        <f>AB22/40759</f>
        <v/>
      </c>
    </row>
    <row r="23" ht="30" customFormat="1" customHeight="1" s="605">
      <c r="A23" s="431" t="inlineStr">
        <is>
          <t>GR008</t>
        </is>
      </c>
      <c r="B23" s="606" t="inlineStr">
        <is>
          <t> </t>
        </is>
      </c>
      <c r="C23" s="606" t="n"/>
      <c r="D23" s="606" t="n"/>
      <c r="E23" s="606" t="n"/>
      <c r="F23" s="606" t="n"/>
      <c r="G23" s="606" t="n"/>
      <c r="H23" s="606" t="n"/>
      <c r="I23" s="606" t="n"/>
      <c r="J23" s="606" t="n"/>
      <c r="K23" s="606" t="n"/>
      <c r="L23" s="606" t="n"/>
      <c r="M23" s="606" t="n"/>
      <c r="N23" s="606" t="n"/>
      <c r="O23" s="429" t="n"/>
      <c r="P23" s="429" t="n"/>
      <c r="Q23" s="429">
        <f>I23+J23+K23+L23+M23+N23+O23+P23</f>
        <v/>
      </c>
      <c r="R23" s="429">
        <f>Q23/40759</f>
        <v/>
      </c>
      <c r="S23" s="429" t="n"/>
      <c r="T23" s="429" t="n"/>
      <c r="U23" s="429" t="n"/>
      <c r="V23" s="429" t="n"/>
      <c r="W23" s="429" t="n"/>
      <c r="X23" s="429" t="n"/>
      <c r="Y23" s="429" t="n"/>
      <c r="Z23" s="429" t="n"/>
      <c r="AA23" s="429">
        <f>Q23+S23+T23+U23+V23+W23+X23+Y23+Z23</f>
        <v/>
      </c>
      <c r="AB23" s="429">
        <f>AA23-S23*0.2</f>
        <v/>
      </c>
      <c r="AC23" s="429">
        <f>AB23/40759</f>
        <v/>
      </c>
    </row>
    <row r="24" ht="30" customFormat="1" customHeight="1" s="605">
      <c r="A24" s="431" t="inlineStr">
        <is>
          <t>GR009</t>
        </is>
      </c>
      <c r="B24" s="606" t="inlineStr">
        <is>
          <t> </t>
        </is>
      </c>
      <c r="C24" s="606" t="n"/>
      <c r="D24" s="606" t="n"/>
      <c r="E24" s="606" t="n"/>
      <c r="F24" s="606" t="n"/>
      <c r="G24" s="606" t="n"/>
      <c r="H24" s="606" t="n"/>
      <c r="I24" s="606" t="n"/>
      <c r="J24" s="606" t="n"/>
      <c r="K24" s="606" t="n"/>
      <c r="L24" s="606" t="n"/>
      <c r="M24" s="606" t="n"/>
      <c r="N24" s="606" t="n"/>
      <c r="O24" s="429" t="n"/>
      <c r="P24" s="429" t="n"/>
      <c r="Q24" s="429">
        <f>I24+J24+K24+L24+M24+N24+O24+P24</f>
        <v/>
      </c>
      <c r="R24" s="429">
        <f>Q24/40759</f>
        <v/>
      </c>
      <c r="S24" s="429" t="n"/>
      <c r="T24" s="429" t="n"/>
      <c r="U24" s="429" t="n"/>
      <c r="V24" s="429" t="n"/>
      <c r="W24" s="429" t="n"/>
      <c r="X24" s="429" t="n"/>
      <c r="Y24" s="429" t="n"/>
      <c r="Z24" s="429" t="n"/>
      <c r="AA24" s="429">
        <f>Q24+S24+T24+U24+V24+W24+X24+Y24+Z24</f>
        <v/>
      </c>
      <c r="AB24" s="429">
        <f>+AA24</f>
        <v/>
      </c>
      <c r="AC24" s="429">
        <f>AB24/40759</f>
        <v/>
      </c>
    </row>
    <row r="25" ht="30" customFormat="1" customHeight="1" s="605">
      <c r="A25" s="431" t="inlineStr">
        <is>
          <t>GR010</t>
        </is>
      </c>
      <c r="B25" s="606" t="inlineStr">
        <is>
          <t> </t>
        </is>
      </c>
      <c r="C25" s="606" t="n"/>
      <c r="D25" s="606" t="n"/>
      <c r="E25" s="606" t="n"/>
      <c r="F25" s="606" t="n"/>
      <c r="G25" s="606" t="n"/>
      <c r="H25" s="606" t="n"/>
      <c r="I25" s="606" t="n"/>
      <c r="J25" s="606" t="n"/>
      <c r="K25" s="606" t="n"/>
      <c r="L25" s="606" t="n"/>
      <c r="M25" s="606" t="n"/>
      <c r="N25" s="606" t="n"/>
      <c r="O25" s="429" t="n"/>
      <c r="P25" s="429" t="n"/>
      <c r="Q25" s="429">
        <f>I25+J25+K25+L25+M25+N25+O25+P25</f>
        <v/>
      </c>
      <c r="R25" s="429">
        <f>Q25/40759</f>
        <v/>
      </c>
      <c r="S25" s="429" t="n"/>
      <c r="T25" s="429" t="n"/>
      <c r="U25" s="429" t="n"/>
      <c r="V25" s="429" t="n"/>
      <c r="W25" s="429" t="n"/>
      <c r="X25" s="429" t="n"/>
      <c r="Y25" s="429" t="n"/>
      <c r="Z25" s="429" t="n"/>
      <c r="AA25" s="429">
        <f>Q25+S25+T25+U25+V25+W25+X25+Y25+Z25</f>
        <v/>
      </c>
      <c r="AB25" s="429">
        <f>+AA25</f>
        <v/>
      </c>
      <c r="AC25" s="429">
        <f>AB25/40759</f>
        <v/>
      </c>
    </row>
    <row r="26" ht="30" customFormat="1" customHeight="1" s="605">
      <c r="A26" s="431" t="inlineStr">
        <is>
          <t>GR011</t>
        </is>
      </c>
      <c r="B26" s="606" t="inlineStr">
        <is>
          <t> </t>
        </is>
      </c>
      <c r="C26" s="606" t="n"/>
      <c r="D26" s="606" t="n"/>
      <c r="E26" s="606" t="n"/>
      <c r="F26" s="606" t="n"/>
      <c r="G26" s="606" t="n"/>
      <c r="H26" s="606" t="n"/>
      <c r="I26" s="606" t="n"/>
      <c r="J26" s="606" t="n"/>
      <c r="K26" s="606" t="n"/>
      <c r="L26" s="606" t="n"/>
      <c r="M26" s="606" t="n"/>
      <c r="N26" s="606" t="n"/>
      <c r="O26" s="429" t="n"/>
      <c r="P26" s="429" t="n"/>
      <c r="Q26" s="429">
        <f>I26+J26+K26+L26+M26+N26+O26+P26</f>
        <v/>
      </c>
      <c r="R26" s="429">
        <f>Q26/40759</f>
        <v/>
      </c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>
        <f>Q26+S26+T26+U26+V26+W26+X26+Y26+Z26</f>
        <v/>
      </c>
      <c r="AB26" s="429">
        <f>+AA26</f>
        <v/>
      </c>
      <c r="AC26" s="429">
        <f>AB26/40759</f>
        <v/>
      </c>
    </row>
    <row r="27" ht="30" customFormat="1" customHeight="1" s="605">
      <c r="A27" s="431" t="inlineStr">
        <is>
          <t>GR012</t>
        </is>
      </c>
      <c r="B27" s="606" t="inlineStr">
        <is>
          <t> </t>
        </is>
      </c>
      <c r="C27" s="606" t="n"/>
      <c r="D27" s="606" t="n"/>
      <c r="E27" s="606" t="n"/>
      <c r="F27" s="606" t="n"/>
      <c r="G27" s="606" t="n"/>
      <c r="H27" s="606" t="n"/>
      <c r="I27" s="606" t="n"/>
      <c r="J27" s="606" t="n"/>
      <c r="K27" s="606" t="n"/>
      <c r="L27" s="606" t="n"/>
      <c r="M27" s="606" t="n"/>
      <c r="N27" s="606" t="n"/>
      <c r="O27" s="429" t="n"/>
      <c r="P27" s="429" t="n"/>
      <c r="Q27" s="429">
        <f>I27+J27+K27+L27+M27+N27+O27+P27</f>
        <v/>
      </c>
      <c r="R27" s="429">
        <f>Q27/40759</f>
        <v/>
      </c>
      <c r="S27" s="429" t="n"/>
      <c r="T27" s="429" t="n"/>
      <c r="U27" s="429" t="n"/>
      <c r="V27" s="429" t="n"/>
      <c r="W27" s="429" t="n"/>
      <c r="X27" s="429" t="n"/>
      <c r="Y27" s="429" t="n"/>
      <c r="Z27" s="429" t="n"/>
      <c r="AA27" s="429">
        <f>Q27+S27+T27+U27+V27+W27+X27+Y27+Z27</f>
        <v/>
      </c>
      <c r="AB27" s="429">
        <f>+AA27</f>
        <v/>
      </c>
      <c r="AC27" s="429">
        <f>AB27/40759</f>
        <v/>
      </c>
    </row>
    <row r="28" ht="30" customFormat="1" customHeight="1" s="605">
      <c r="A28" s="431" t="inlineStr">
        <is>
          <t>GR013</t>
        </is>
      </c>
      <c r="B28" s="606" t="inlineStr">
        <is>
          <t> </t>
        </is>
      </c>
      <c r="C28" s="606" t="n"/>
      <c r="D28" s="606" t="n"/>
      <c r="E28" s="606" t="n"/>
      <c r="F28" s="606" t="n"/>
      <c r="G28" s="606" t="n"/>
      <c r="H28" s="606" t="n"/>
      <c r="I28" s="606" t="n"/>
      <c r="J28" s="606" t="n"/>
      <c r="K28" s="606" t="n"/>
      <c r="L28" s="606" t="n"/>
      <c r="M28" s="606" t="n"/>
      <c r="N28" s="606" t="n"/>
      <c r="O28" s="429" t="n"/>
      <c r="P28" s="429" t="n"/>
      <c r="Q28" s="429" t="n"/>
      <c r="R28" s="429" t="n"/>
      <c r="S28" s="429" t="n"/>
      <c r="T28" s="429" t="n"/>
      <c r="U28" s="429" t="n"/>
      <c r="V28" s="429" t="n"/>
      <c r="W28" s="429" t="n"/>
      <c r="X28" s="429" t="n"/>
      <c r="Y28" s="429" t="n"/>
      <c r="Z28" s="429" t="n"/>
      <c r="AA28" s="429" t="n"/>
      <c r="AB28" s="429" t="n"/>
      <c r="AC28" s="429" t="n"/>
    </row>
    <row r="29" ht="30" customFormat="1" customHeight="1" s="605">
      <c r="A29" s="431" t="inlineStr">
        <is>
          <t>GR014</t>
        </is>
      </c>
      <c r="B29" s="606" t="inlineStr">
        <is>
          <t> </t>
        </is>
      </c>
      <c r="C29" s="606" t="n"/>
      <c r="D29" s="606" t="n"/>
      <c r="E29" s="606" t="n"/>
      <c r="F29" s="606" t="n"/>
      <c r="G29" s="606" t="n"/>
      <c r="H29" s="606" t="n"/>
      <c r="I29" s="606" t="n"/>
      <c r="J29" s="606" t="n"/>
      <c r="K29" s="606" t="n"/>
      <c r="L29" s="606" t="n"/>
      <c r="M29" s="606" t="n"/>
      <c r="N29" s="606" t="n"/>
      <c r="O29" s="429" t="n"/>
      <c r="P29" s="429" t="n"/>
      <c r="Q29" s="429" t="n"/>
      <c r="R29" s="429" t="n"/>
      <c r="S29" s="429" t="n"/>
      <c r="T29" s="429" t="n"/>
      <c r="U29" s="429" t="n"/>
      <c r="V29" s="429" t="n"/>
      <c r="W29" s="429" t="n"/>
      <c r="X29" s="429" t="n"/>
      <c r="Y29" s="429" t="n"/>
      <c r="Z29" s="429" t="n"/>
      <c r="AA29" s="429" t="n"/>
      <c r="AB29" s="429" t="n"/>
      <c r="AC29" s="429" t="n"/>
    </row>
    <row r="30" ht="30" customFormat="1" customHeight="1" s="605">
      <c r="A30" s="431" t="inlineStr">
        <is>
          <t>GR015</t>
        </is>
      </c>
      <c r="B30" s="606" t="inlineStr">
        <is>
          <t> </t>
        </is>
      </c>
      <c r="C30" s="606" t="n"/>
      <c r="D30" s="606" t="n"/>
      <c r="E30" s="606" t="n"/>
      <c r="F30" s="606" t="n"/>
      <c r="G30" s="606" t="n"/>
      <c r="H30" s="606" t="n"/>
      <c r="I30" s="606" t="n"/>
      <c r="J30" s="606" t="n"/>
      <c r="K30" s="606" t="n"/>
      <c r="L30" s="606" t="n"/>
      <c r="M30" s="606" t="n"/>
      <c r="N30" s="606" t="n"/>
      <c r="O30" s="429" t="n"/>
      <c r="P30" s="429" t="n"/>
      <c r="Q30" s="429" t="n"/>
      <c r="R30" s="429" t="n"/>
      <c r="S30" s="429" t="n"/>
      <c r="T30" s="429" t="n"/>
      <c r="U30" s="429" t="n"/>
      <c r="V30" s="429" t="n"/>
      <c r="W30" s="429" t="n"/>
      <c r="X30" s="429" t="n"/>
      <c r="Y30" s="429" t="n"/>
      <c r="Z30" s="429" t="n"/>
      <c r="AA30" s="429" t="n"/>
      <c r="AB30" s="429" t="n"/>
      <c r="AC30" s="429" t="n"/>
    </row>
    <row r="31" ht="30" customFormat="1" customHeight="1" s="605">
      <c r="A31" s="431" t="inlineStr">
        <is>
          <t>GR016</t>
        </is>
      </c>
      <c r="B31" s="606" t="inlineStr">
        <is>
          <t> </t>
        </is>
      </c>
      <c r="C31" s="606" t="n"/>
      <c r="D31" s="606" t="n"/>
      <c r="E31" s="606" t="n"/>
      <c r="F31" s="606" t="n"/>
      <c r="G31" s="606" t="n"/>
      <c r="H31" s="606" t="n"/>
      <c r="I31" s="606" t="n"/>
      <c r="J31" s="606" t="n"/>
      <c r="K31" s="606" t="n"/>
      <c r="L31" s="606" t="n"/>
      <c r="M31" s="606" t="n"/>
      <c r="N31" s="606" t="n"/>
      <c r="O31" s="429" t="n"/>
      <c r="P31" s="429" t="n"/>
      <c r="Q31" s="429" t="n"/>
      <c r="R31" s="429" t="n"/>
      <c r="S31" s="429" t="n"/>
      <c r="T31" s="429" t="n"/>
      <c r="U31" s="429" t="n"/>
      <c r="V31" s="429" t="n"/>
      <c r="W31" s="429" t="n"/>
      <c r="X31" s="429" t="n"/>
      <c r="Y31" s="429" t="n"/>
      <c r="Z31" s="429" t="n"/>
      <c r="AA31" s="429" t="n"/>
      <c r="AB31" s="429" t="n"/>
      <c r="AC31" s="429" t="n"/>
    </row>
    <row r="32" ht="30" customFormat="1" customHeight="1" s="605">
      <c r="A32" s="431" t="inlineStr">
        <is>
          <t>GR017</t>
        </is>
      </c>
      <c r="B32" s="606" t="inlineStr">
        <is>
          <t> </t>
        </is>
      </c>
      <c r="C32" s="606" t="n"/>
      <c r="D32" s="606" t="n"/>
      <c r="E32" s="606" t="n"/>
      <c r="F32" s="606" t="n"/>
      <c r="G32" s="606" t="n"/>
      <c r="H32" s="606" t="n"/>
      <c r="I32" s="606" t="n"/>
      <c r="J32" s="606" t="n"/>
      <c r="K32" s="606" t="n"/>
      <c r="L32" s="606" t="n"/>
      <c r="M32" s="606" t="n"/>
      <c r="N32" s="606" t="n"/>
      <c r="O32" s="429" t="n"/>
      <c r="P32" s="429" t="n"/>
      <c r="Q32" s="429" t="n"/>
      <c r="R32" s="429" t="n"/>
      <c r="S32" s="429" t="n"/>
      <c r="T32" s="429" t="n"/>
      <c r="U32" s="429" t="n"/>
      <c r="V32" s="429" t="n"/>
      <c r="W32" s="429" t="n"/>
      <c r="X32" s="429" t="n"/>
      <c r="Y32" s="429" t="n"/>
      <c r="Z32" s="429" t="n"/>
      <c r="AA32" s="429" t="n"/>
      <c r="AB32" s="429" t="n"/>
      <c r="AC32" s="429" t="n"/>
    </row>
    <row r="33" ht="30" customFormat="1" customHeight="1" s="605">
      <c r="A33" s="431" t="inlineStr">
        <is>
          <t>GR018</t>
        </is>
      </c>
      <c r="B33" s="606" t="inlineStr">
        <is>
          <t> </t>
        </is>
      </c>
      <c r="C33" s="606" t="n"/>
      <c r="D33" s="606" t="n"/>
      <c r="E33" s="606" t="n"/>
      <c r="F33" s="606" t="n"/>
      <c r="G33" s="606" t="n"/>
      <c r="H33" s="606" t="n"/>
      <c r="I33" s="606" t="n"/>
      <c r="J33" s="606" t="n"/>
      <c r="K33" s="606" t="n"/>
      <c r="L33" s="606" t="n"/>
      <c r="M33" s="606" t="n"/>
      <c r="N33" s="606" t="n"/>
      <c r="O33" s="429" t="n"/>
      <c r="P33" s="429" t="n"/>
      <c r="Q33" s="429" t="n"/>
      <c r="R33" s="429" t="n"/>
      <c r="S33" s="429" t="n"/>
      <c r="T33" s="429" t="n"/>
      <c r="U33" s="429" t="n"/>
      <c r="V33" s="429" t="n"/>
      <c r="W33" s="429" t="n"/>
      <c r="X33" s="429" t="n"/>
      <c r="Y33" s="429" t="n"/>
      <c r="Z33" s="429" t="n"/>
      <c r="AA33" s="429" t="n"/>
      <c r="AB33" s="429" t="n"/>
      <c r="AC33" s="429" t="n"/>
    </row>
    <row r="34" ht="30" customFormat="1" customHeight="1" s="605">
      <c r="A34" s="431" t="inlineStr">
        <is>
          <t>GR019</t>
        </is>
      </c>
      <c r="B34" s="606" t="inlineStr">
        <is>
          <t> </t>
        </is>
      </c>
      <c r="C34" s="606" t="n"/>
      <c r="D34" s="606" t="n"/>
      <c r="E34" s="606" t="n"/>
      <c r="F34" s="606" t="n"/>
      <c r="G34" s="606" t="n"/>
      <c r="H34" s="606" t="n"/>
      <c r="I34" s="606" t="n"/>
      <c r="J34" s="606" t="n"/>
      <c r="K34" s="606" t="n"/>
      <c r="L34" s="606" t="n"/>
      <c r="M34" s="606" t="n"/>
      <c r="N34" s="606" t="n"/>
      <c r="O34" s="429" t="n"/>
      <c r="P34" s="429" t="n"/>
      <c r="Q34" s="429" t="n"/>
      <c r="R34" s="429" t="n"/>
      <c r="S34" s="429" t="n"/>
      <c r="T34" s="429" t="n"/>
      <c r="U34" s="429" t="n"/>
      <c r="V34" s="429" t="n"/>
      <c r="W34" s="429" t="n"/>
      <c r="X34" s="429" t="n"/>
      <c r="Y34" s="429" t="n"/>
      <c r="Z34" s="429" t="n"/>
      <c r="AA34" s="429" t="n"/>
      <c r="AB34" s="429" t="n"/>
      <c r="AC34" s="429" t="n"/>
    </row>
    <row r="35" ht="30" customFormat="1" customHeight="1" s="605">
      <c r="A35" s="431" t="inlineStr">
        <is>
          <t>GR020</t>
        </is>
      </c>
      <c r="B35" s="606" t="inlineStr">
        <is>
          <t> </t>
        </is>
      </c>
      <c r="C35" s="606" t="n"/>
      <c r="D35" s="606" t="n"/>
      <c r="E35" s="606" t="n"/>
      <c r="F35" s="606" t="n"/>
      <c r="G35" s="606" t="n"/>
      <c r="H35" s="606" t="n"/>
      <c r="I35" s="606" t="n"/>
      <c r="J35" s="606" t="n"/>
      <c r="K35" s="606" t="n"/>
      <c r="L35" s="606" t="n"/>
      <c r="M35" s="606" t="n"/>
      <c r="N35" s="606" t="n"/>
      <c r="O35" s="429" t="n"/>
      <c r="P35" s="429" t="n"/>
      <c r="Q35" s="429" t="n"/>
      <c r="R35" s="429" t="n"/>
      <c r="S35" s="429" t="n"/>
      <c r="T35" s="429" t="n"/>
      <c r="U35" s="429" t="n"/>
      <c r="V35" s="429" t="n"/>
      <c r="W35" s="429" t="n"/>
      <c r="X35" s="429" t="n"/>
      <c r="Y35" s="429" t="n"/>
      <c r="Z35" s="429" t="n"/>
      <c r="AA35" s="429" t="n"/>
      <c r="AB35" s="429" t="n"/>
      <c r="AC35" s="429" t="n"/>
    </row>
    <row r="36" ht="30" customFormat="1" customHeight="1" s="605">
      <c r="A36" s="431" t="inlineStr">
        <is>
          <t>GR021</t>
        </is>
      </c>
      <c r="B36" s="606" t="inlineStr">
        <is>
          <t> </t>
        </is>
      </c>
      <c r="C36" s="606" t="inlineStr">
        <is>
          <t> </t>
        </is>
      </c>
      <c r="D36" s="606" t="inlineStr">
        <is>
          <t> </t>
        </is>
      </c>
      <c r="E36" s="606" t="inlineStr">
        <is>
          <t> </t>
        </is>
      </c>
      <c r="F36" s="606" t="inlineStr">
        <is>
          <t> </t>
        </is>
      </c>
      <c r="G36" s="606" t="n"/>
      <c r="H36" s="606" t="n"/>
      <c r="I36" s="606" t="n"/>
      <c r="J36" s="606" t="n"/>
      <c r="K36" s="606" t="n"/>
      <c r="L36" s="606" t="n"/>
      <c r="M36" s="606" t="n"/>
      <c r="N36" s="606" t="n"/>
      <c r="O36" s="429" t="n"/>
      <c r="P36" s="429" t="n"/>
      <c r="Q36" s="429" t="n"/>
      <c r="R36" s="429" t="n"/>
      <c r="S36" s="429" t="n"/>
      <c r="T36" s="429" t="n"/>
      <c r="U36" s="429" t="n"/>
      <c r="V36" s="429" t="n"/>
      <c r="W36" s="429" t="n"/>
      <c r="X36" s="429" t="n"/>
      <c r="Y36" s="429" t="n"/>
      <c r="Z36" s="429" t="n"/>
      <c r="AA36" s="429" t="n"/>
      <c r="AB36" s="429" t="n"/>
      <c r="AC36" s="429" t="n"/>
    </row>
    <row r="37" ht="30" customFormat="1" customHeight="1" s="605">
      <c r="A37" s="431" t="inlineStr">
        <is>
          <t>GR022</t>
        </is>
      </c>
      <c r="B37" s="606" t="inlineStr">
        <is>
          <t> </t>
        </is>
      </c>
      <c r="C37" s="606" t="inlineStr">
        <is>
          <t> </t>
        </is>
      </c>
      <c r="D37" s="606" t="inlineStr">
        <is>
          <t> </t>
        </is>
      </c>
      <c r="E37" s="606" t="inlineStr">
        <is>
          <t> </t>
        </is>
      </c>
      <c r="F37" s="606" t="inlineStr">
        <is>
          <t> </t>
        </is>
      </c>
      <c r="G37" s="606" t="n"/>
      <c r="H37" s="606" t="n"/>
      <c r="I37" s="606" t="n"/>
      <c r="J37" s="606" t="n"/>
      <c r="K37" s="606" t="n"/>
      <c r="L37" s="606" t="n"/>
      <c r="M37" s="606" t="n"/>
      <c r="N37" s="606" t="n"/>
      <c r="O37" s="429" t="n"/>
      <c r="P37" s="429" t="n"/>
      <c r="Q37" s="429" t="n"/>
      <c r="R37" s="429" t="n"/>
      <c r="S37" s="429" t="n"/>
      <c r="T37" s="429" t="n"/>
      <c r="U37" s="429" t="n"/>
      <c r="V37" s="429" t="n"/>
      <c r="W37" s="429" t="n"/>
      <c r="X37" s="429" t="n"/>
      <c r="Y37" s="429" t="n"/>
      <c r="Z37" s="429" t="n"/>
      <c r="AA37" s="429" t="n"/>
      <c r="AB37" s="429" t="n"/>
      <c r="AC37" s="429" t="n"/>
    </row>
    <row r="38" ht="30" customFormat="1" customHeight="1" s="605">
      <c r="A38" s="431" t="inlineStr">
        <is>
          <t>GR023</t>
        </is>
      </c>
      <c r="B38" s="606" t="inlineStr">
        <is>
          <t> </t>
        </is>
      </c>
      <c r="C38" s="606" t="inlineStr">
        <is>
          <t> </t>
        </is>
      </c>
      <c r="D38" s="606" t="inlineStr">
        <is>
          <t> </t>
        </is>
      </c>
      <c r="E38" s="606" t="inlineStr">
        <is>
          <t> </t>
        </is>
      </c>
      <c r="F38" s="606" t="inlineStr">
        <is>
          <t> </t>
        </is>
      </c>
      <c r="G38" s="606" t="n"/>
      <c r="H38" s="606" t="n"/>
      <c r="I38" s="606" t="n"/>
      <c r="J38" s="606" t="n"/>
      <c r="K38" s="606" t="n"/>
      <c r="L38" s="606" t="n"/>
      <c r="M38" s="606" t="n"/>
      <c r="N38" s="606" t="n"/>
      <c r="O38" s="429" t="n"/>
      <c r="P38" s="429" t="n"/>
      <c r="Q38" s="429" t="n"/>
      <c r="R38" s="429" t="n"/>
      <c r="S38" s="429" t="n"/>
      <c r="T38" s="429" t="n"/>
      <c r="U38" s="429" t="n"/>
      <c r="V38" s="429" t="n"/>
      <c r="W38" s="429" t="n"/>
      <c r="X38" s="429" t="n"/>
      <c r="Y38" s="429" t="n"/>
      <c r="Z38" s="429" t="n"/>
      <c r="AA38" s="429" t="n"/>
      <c r="AB38" s="429" t="n"/>
      <c r="AC38" s="429" t="n"/>
    </row>
    <row r="39" ht="30" customFormat="1" customHeight="1" s="605">
      <c r="A39" s="431" t="inlineStr">
        <is>
          <t>GR024</t>
        </is>
      </c>
      <c r="B39" s="606" t="inlineStr">
        <is>
          <t> </t>
        </is>
      </c>
      <c r="C39" s="606" t="inlineStr">
        <is>
          <t> </t>
        </is>
      </c>
      <c r="D39" s="606" t="inlineStr">
        <is>
          <t> </t>
        </is>
      </c>
      <c r="E39" s="606" t="inlineStr">
        <is>
          <t> </t>
        </is>
      </c>
      <c r="F39" s="606" t="inlineStr">
        <is>
          <t> </t>
        </is>
      </c>
      <c r="G39" s="606" t="n"/>
      <c r="H39" s="606" t="n"/>
      <c r="I39" s="606" t="n"/>
      <c r="J39" s="606" t="n"/>
      <c r="K39" s="606" t="n"/>
      <c r="L39" s="606" t="n"/>
      <c r="M39" s="606" t="n"/>
      <c r="N39" s="606" t="n"/>
      <c r="O39" s="429" t="n"/>
      <c r="P39" s="429" t="n"/>
      <c r="Q39" s="429" t="n"/>
      <c r="R39" s="429" t="n"/>
      <c r="S39" s="429" t="n"/>
      <c r="T39" s="429" t="n"/>
      <c r="U39" s="429" t="n"/>
      <c r="V39" s="429" t="n"/>
      <c r="W39" s="429" t="n"/>
      <c r="X39" s="429" t="n"/>
      <c r="Y39" s="429" t="n"/>
      <c r="Z39" s="429" t="n"/>
      <c r="AA39" s="429" t="n"/>
      <c r="AB39" s="429" t="n"/>
      <c r="AC39" s="429" t="n"/>
    </row>
    <row r="40" ht="30" customFormat="1" customHeight="1" s="605">
      <c r="A40" s="431" t="inlineStr">
        <is>
          <t>GR025</t>
        </is>
      </c>
      <c r="B40" s="606" t="inlineStr">
        <is>
          <t> </t>
        </is>
      </c>
      <c r="C40" s="606" t="inlineStr">
        <is>
          <t> </t>
        </is>
      </c>
      <c r="D40" s="606" t="inlineStr">
        <is>
          <t> </t>
        </is>
      </c>
      <c r="E40" s="606" t="inlineStr">
        <is>
          <t> </t>
        </is>
      </c>
      <c r="F40" s="606" t="inlineStr">
        <is>
          <t> </t>
        </is>
      </c>
      <c r="G40" s="606" t="n"/>
      <c r="H40" s="606" t="n"/>
      <c r="I40" s="606" t="n"/>
      <c r="J40" s="606" t="n"/>
      <c r="K40" s="606" t="n"/>
      <c r="L40" s="606" t="n"/>
      <c r="M40" s="606" t="n"/>
      <c r="N40" s="606" t="n"/>
      <c r="O40" s="429" t="n"/>
      <c r="P40" s="429" t="n"/>
      <c r="Q40" s="429" t="n"/>
      <c r="R40" s="429" t="n"/>
      <c r="S40" s="429" t="n"/>
      <c r="T40" s="429" t="n"/>
      <c r="U40" s="429" t="n"/>
      <c r="V40" s="429" t="n"/>
      <c r="W40" s="429" t="n"/>
      <c r="X40" s="429" t="n"/>
      <c r="Y40" s="429" t="n"/>
      <c r="Z40" s="429" t="n"/>
      <c r="AA40" s="429" t="n"/>
      <c r="AB40" s="429" t="n"/>
      <c r="AC40" s="429" t="n"/>
    </row>
    <row r="41" ht="30" customFormat="1" customHeight="1" s="605">
      <c r="A41" s="431" t="inlineStr">
        <is>
          <t>GR026</t>
        </is>
      </c>
      <c r="B41" s="606" t="inlineStr">
        <is>
          <t> </t>
        </is>
      </c>
      <c r="C41" s="606" t="inlineStr">
        <is>
          <t> </t>
        </is>
      </c>
      <c r="D41" s="606" t="inlineStr">
        <is>
          <t> </t>
        </is>
      </c>
      <c r="E41" s="606" t="inlineStr">
        <is>
          <t> </t>
        </is>
      </c>
      <c r="F41" s="606" t="inlineStr">
        <is>
          <t> </t>
        </is>
      </c>
      <c r="G41" s="606" t="n"/>
      <c r="H41" s="606" t="n"/>
      <c r="I41" s="606" t="n"/>
      <c r="J41" s="606" t="n"/>
      <c r="K41" s="606" t="n"/>
      <c r="L41" s="606" t="n"/>
      <c r="M41" s="606" t="n"/>
      <c r="N41" s="606" t="n"/>
      <c r="O41" s="429" t="n"/>
      <c r="P41" s="429" t="n"/>
      <c r="Q41" s="429" t="n"/>
      <c r="R41" s="429" t="n"/>
      <c r="S41" s="429" t="n"/>
      <c r="T41" s="429" t="n"/>
      <c r="U41" s="429" t="n"/>
      <c r="V41" s="429" t="n"/>
      <c r="W41" s="429" t="n"/>
      <c r="X41" s="429" t="n"/>
      <c r="Y41" s="429" t="n"/>
      <c r="Z41" s="429" t="n"/>
      <c r="AA41" s="429" t="n"/>
      <c r="AB41" s="429" t="n"/>
      <c r="AC41" s="429" t="n"/>
    </row>
    <row r="42" ht="30" customFormat="1" customHeight="1" s="605">
      <c r="A42" s="431" t="inlineStr">
        <is>
          <t>GR027</t>
        </is>
      </c>
      <c r="B42" s="606" t="inlineStr">
        <is>
          <t> </t>
        </is>
      </c>
      <c r="C42" s="606" t="inlineStr">
        <is>
          <t> </t>
        </is>
      </c>
      <c r="D42" s="606" t="inlineStr">
        <is>
          <t> </t>
        </is>
      </c>
      <c r="E42" s="606" t="inlineStr">
        <is>
          <t> </t>
        </is>
      </c>
      <c r="F42" s="606" t="inlineStr">
        <is>
          <t> </t>
        </is>
      </c>
      <c r="G42" s="606" t="n"/>
      <c r="H42" s="606" t="n"/>
      <c r="I42" s="606" t="n"/>
      <c r="J42" s="606" t="n"/>
      <c r="K42" s="606" t="n"/>
      <c r="L42" s="606" t="n"/>
      <c r="M42" s="606" t="n"/>
      <c r="N42" s="606" t="n"/>
      <c r="O42" s="429" t="n"/>
      <c r="P42" s="429" t="n"/>
      <c r="Q42" s="429" t="n"/>
      <c r="R42" s="429" t="n"/>
      <c r="S42" s="429" t="n"/>
      <c r="T42" s="429" t="n"/>
      <c r="U42" s="429" t="n"/>
      <c r="V42" s="429" t="n"/>
      <c r="W42" s="429" t="n"/>
      <c r="X42" s="429" t="n"/>
      <c r="Y42" s="429" t="n"/>
      <c r="Z42" s="429" t="n"/>
      <c r="AA42" s="429" t="n"/>
      <c r="AB42" s="429" t="n"/>
      <c r="AC42" s="429" t="n"/>
    </row>
    <row r="43" ht="30" customFormat="1" customHeight="1" s="605">
      <c r="A43" s="431" t="inlineStr">
        <is>
          <t>GR028</t>
        </is>
      </c>
      <c r="B43" s="606" t="inlineStr">
        <is>
          <t> </t>
        </is>
      </c>
      <c r="C43" s="606" t="inlineStr">
        <is>
          <t> </t>
        </is>
      </c>
      <c r="D43" s="606" t="inlineStr">
        <is>
          <t> </t>
        </is>
      </c>
      <c r="E43" s="606" t="inlineStr">
        <is>
          <t> </t>
        </is>
      </c>
      <c r="F43" s="606" t="inlineStr">
        <is>
          <t> </t>
        </is>
      </c>
      <c r="G43" s="606" t="n"/>
      <c r="H43" s="606" t="n"/>
      <c r="I43" s="606" t="n"/>
      <c r="J43" s="606" t="n"/>
      <c r="K43" s="606" t="n"/>
      <c r="L43" s="606" t="n"/>
      <c r="M43" s="606" t="n"/>
      <c r="N43" s="606" t="n"/>
      <c r="O43" s="429" t="n"/>
      <c r="P43" s="429" t="n"/>
      <c r="Q43" s="429" t="n"/>
      <c r="R43" s="429" t="n"/>
      <c r="S43" s="429" t="n"/>
      <c r="T43" s="429" t="n"/>
      <c r="U43" s="429" t="n"/>
      <c r="V43" s="429" t="n"/>
      <c r="W43" s="429" t="n"/>
      <c r="X43" s="429" t="n"/>
      <c r="Y43" s="429" t="n"/>
      <c r="Z43" s="429" t="n"/>
      <c r="AA43" s="429" t="n"/>
      <c r="AB43" s="429" t="n"/>
      <c r="AC43" s="429" t="n"/>
    </row>
    <row r="44" ht="30" customFormat="1" customHeight="1" s="605">
      <c r="A44" s="431" t="inlineStr">
        <is>
          <t>GR029</t>
        </is>
      </c>
      <c r="B44" s="606" t="inlineStr">
        <is>
          <t> </t>
        </is>
      </c>
      <c r="C44" s="606" t="inlineStr">
        <is>
          <t> </t>
        </is>
      </c>
      <c r="D44" s="606" t="inlineStr">
        <is>
          <t> </t>
        </is>
      </c>
      <c r="E44" s="606" t="inlineStr">
        <is>
          <t> </t>
        </is>
      </c>
      <c r="F44" s="606" t="inlineStr">
        <is>
          <t> </t>
        </is>
      </c>
      <c r="G44" s="606" t="n"/>
      <c r="H44" s="606" t="n"/>
      <c r="I44" s="606" t="n"/>
      <c r="J44" s="606" t="n"/>
      <c r="K44" s="606" t="n"/>
      <c r="L44" s="606" t="n"/>
      <c r="M44" s="606" t="n"/>
      <c r="N44" s="606" t="n"/>
      <c r="O44" s="429" t="n"/>
      <c r="P44" s="429" t="n"/>
      <c r="Q44" s="429" t="n"/>
      <c r="R44" s="429" t="n"/>
      <c r="S44" s="429" t="n"/>
      <c r="T44" s="429" t="n"/>
      <c r="U44" s="429" t="n"/>
      <c r="V44" s="429" t="n"/>
      <c r="W44" s="429" t="n"/>
      <c r="X44" s="429" t="n"/>
      <c r="Y44" s="429" t="n"/>
      <c r="Z44" s="429" t="n"/>
      <c r="AA44" s="429" t="n"/>
      <c r="AB44" s="429" t="n"/>
      <c r="AC44" s="429" t="n"/>
    </row>
    <row r="45" ht="30" customFormat="1" customHeight="1" s="605">
      <c r="A45" s="431" t="inlineStr">
        <is>
          <t>GR030</t>
        </is>
      </c>
      <c r="B45" s="606" t="inlineStr">
        <is>
          <t> </t>
        </is>
      </c>
      <c r="C45" s="606" t="inlineStr">
        <is>
          <t> </t>
        </is>
      </c>
      <c r="D45" s="606" t="inlineStr">
        <is>
          <t> </t>
        </is>
      </c>
      <c r="E45" s="606" t="inlineStr">
        <is>
          <t> </t>
        </is>
      </c>
      <c r="F45" s="606" t="inlineStr">
        <is>
          <t> </t>
        </is>
      </c>
      <c r="G45" s="606" t="n"/>
      <c r="H45" s="606" t="n"/>
      <c r="I45" s="606" t="n"/>
      <c r="J45" s="606" t="n"/>
      <c r="K45" s="606" t="n"/>
      <c r="L45" s="606" t="n"/>
      <c r="M45" s="606" t="n"/>
      <c r="N45" s="606" t="n"/>
      <c r="O45" s="429" t="n"/>
      <c r="P45" s="429" t="n"/>
      <c r="Q45" s="429" t="n"/>
      <c r="R45" s="429" t="n"/>
      <c r="S45" s="429" t="n"/>
      <c r="T45" s="429" t="n"/>
      <c r="U45" s="429" t="n"/>
      <c r="V45" s="429" t="n"/>
      <c r="W45" s="429" t="n"/>
      <c r="X45" s="429" t="n"/>
      <c r="Y45" s="429" t="n"/>
      <c r="Z45" s="429" t="n"/>
      <c r="AA45" s="429" t="n"/>
      <c r="AB45" s="429" t="n"/>
      <c r="AC45" s="429" t="n"/>
    </row>
    <row r="46" ht="30" customFormat="1" customHeight="1" s="605">
      <c r="A46" s="431" t="inlineStr">
        <is>
          <t>GR031</t>
        </is>
      </c>
      <c r="B46" s="606" t="inlineStr">
        <is>
          <t> </t>
        </is>
      </c>
      <c r="C46" s="606" t="inlineStr">
        <is>
          <t> </t>
        </is>
      </c>
      <c r="D46" s="606" t="inlineStr">
        <is>
          <t> </t>
        </is>
      </c>
      <c r="E46" s="606" t="inlineStr">
        <is>
          <t> </t>
        </is>
      </c>
      <c r="F46" s="606" t="inlineStr">
        <is>
          <t> </t>
        </is>
      </c>
      <c r="G46" s="606" t="n"/>
      <c r="H46" s="606" t="n"/>
      <c r="I46" s="606" t="n"/>
      <c r="J46" s="606" t="n"/>
      <c r="K46" s="606" t="n"/>
      <c r="L46" s="606" t="n"/>
      <c r="M46" s="606" t="n"/>
      <c r="N46" s="606" t="n"/>
      <c r="O46" s="429" t="n"/>
      <c r="P46" s="429" t="n"/>
      <c r="Q46" s="429" t="n"/>
      <c r="R46" s="429" t="n"/>
      <c r="S46" s="429" t="n"/>
      <c r="T46" s="429" t="n"/>
      <c r="U46" s="429" t="n"/>
      <c r="V46" s="429" t="n"/>
      <c r="W46" s="429" t="n"/>
      <c r="X46" s="429" t="n"/>
      <c r="Y46" s="429" t="n"/>
      <c r="Z46" s="429" t="n"/>
      <c r="AA46" s="429" t="n"/>
      <c r="AB46" s="429" t="n"/>
      <c r="AC46" s="429" t="n"/>
    </row>
    <row r="47" ht="30" customFormat="1" customHeight="1" s="605">
      <c r="A47" s="431" t="inlineStr">
        <is>
          <t>GR032</t>
        </is>
      </c>
      <c r="B47" s="606" t="inlineStr">
        <is>
          <t> </t>
        </is>
      </c>
      <c r="C47" s="606" t="inlineStr">
        <is>
          <t> </t>
        </is>
      </c>
      <c r="D47" s="606" t="inlineStr">
        <is>
          <t> </t>
        </is>
      </c>
      <c r="E47" s="606" t="inlineStr">
        <is>
          <t> </t>
        </is>
      </c>
      <c r="F47" s="606" t="inlineStr">
        <is>
          <t> </t>
        </is>
      </c>
      <c r="G47" s="606" t="n"/>
      <c r="H47" s="606" t="n"/>
      <c r="I47" s="606" t="n"/>
      <c r="J47" s="606" t="n"/>
      <c r="K47" s="606" t="n"/>
      <c r="L47" s="606" t="n"/>
      <c r="M47" s="606" t="n"/>
      <c r="N47" s="606" t="n"/>
      <c r="O47" s="429" t="n"/>
      <c r="P47" s="429" t="n"/>
      <c r="Q47" s="429" t="n"/>
      <c r="R47" s="429" t="n"/>
      <c r="S47" s="429" t="n"/>
      <c r="T47" s="429" t="n"/>
      <c r="U47" s="429" t="n"/>
      <c r="V47" s="429" t="n"/>
      <c r="W47" s="429" t="n"/>
      <c r="X47" s="429" t="n"/>
      <c r="Y47" s="429" t="n"/>
      <c r="Z47" s="429" t="n"/>
      <c r="AA47" s="429" t="n"/>
      <c r="AB47" s="429" t="n"/>
      <c r="AC47" s="429" t="n"/>
    </row>
    <row r="48" ht="30" customFormat="1" customHeight="1" s="605">
      <c r="A48" s="431" t="inlineStr">
        <is>
          <t>GR033</t>
        </is>
      </c>
      <c r="B48" s="606" t="inlineStr">
        <is>
          <t> </t>
        </is>
      </c>
      <c r="C48" s="606" t="inlineStr">
        <is>
          <t> </t>
        </is>
      </c>
      <c r="D48" s="606" t="inlineStr">
        <is>
          <t> </t>
        </is>
      </c>
      <c r="E48" s="606" t="inlineStr">
        <is>
          <t> </t>
        </is>
      </c>
      <c r="F48" s="606" t="inlineStr">
        <is>
          <t> </t>
        </is>
      </c>
      <c r="G48" s="606" t="n"/>
      <c r="H48" s="606" t="n"/>
      <c r="I48" s="606" t="n"/>
      <c r="J48" s="606" t="n"/>
      <c r="K48" s="606" t="n"/>
      <c r="L48" s="606" t="n"/>
      <c r="M48" s="606" t="n"/>
      <c r="N48" s="606" t="n"/>
      <c r="O48" s="429" t="n"/>
      <c r="P48" s="429" t="n"/>
      <c r="Q48" s="429" t="n"/>
      <c r="R48" s="429" t="n"/>
      <c r="S48" s="429" t="n"/>
      <c r="T48" s="429" t="n"/>
      <c r="U48" s="429" t="n"/>
      <c r="V48" s="429" t="n"/>
      <c r="W48" s="429" t="n"/>
      <c r="X48" s="429" t="n"/>
      <c r="Y48" s="429" t="n"/>
      <c r="Z48" s="429" t="n"/>
      <c r="AA48" s="429" t="n"/>
      <c r="AB48" s="429" t="n"/>
      <c r="AC48" s="429" t="n"/>
    </row>
    <row r="49" ht="30" customFormat="1" customHeight="1" s="605">
      <c r="A49" s="431" t="inlineStr">
        <is>
          <t>GR034</t>
        </is>
      </c>
      <c r="B49" s="606" t="inlineStr">
        <is>
          <t> </t>
        </is>
      </c>
      <c r="C49" s="606" t="inlineStr">
        <is>
          <t> </t>
        </is>
      </c>
      <c r="D49" s="606" t="inlineStr">
        <is>
          <t> </t>
        </is>
      </c>
      <c r="E49" s="606" t="inlineStr">
        <is>
          <t> </t>
        </is>
      </c>
      <c r="F49" s="606" t="inlineStr">
        <is>
          <t> </t>
        </is>
      </c>
      <c r="G49" s="606" t="n"/>
      <c r="H49" s="606" t="n"/>
      <c r="I49" s="606" t="n"/>
      <c r="J49" s="606" t="n"/>
      <c r="K49" s="606" t="n"/>
      <c r="L49" s="606" t="n"/>
      <c r="M49" s="606" t="n"/>
      <c r="N49" s="606" t="n"/>
      <c r="O49" s="429" t="n"/>
      <c r="P49" s="429" t="n"/>
      <c r="Q49" s="429" t="n"/>
      <c r="R49" s="429" t="n"/>
      <c r="S49" s="429" t="n"/>
      <c r="T49" s="429" t="n"/>
      <c r="U49" s="429" t="n"/>
      <c r="V49" s="429" t="n"/>
      <c r="W49" s="429" t="n"/>
      <c r="X49" s="429" t="n"/>
      <c r="Y49" s="429" t="n"/>
      <c r="Z49" s="429" t="n"/>
      <c r="AA49" s="429" t="n"/>
      <c r="AB49" s="429" t="n"/>
      <c r="AC49" s="429" t="n"/>
    </row>
    <row r="50" ht="30" customFormat="1" customHeight="1" s="605">
      <c r="A50" s="431" t="inlineStr">
        <is>
          <t>GR035</t>
        </is>
      </c>
      <c r="B50" s="606" t="inlineStr">
        <is>
          <t> </t>
        </is>
      </c>
      <c r="C50" s="606" t="inlineStr">
        <is>
          <t> </t>
        </is>
      </c>
      <c r="D50" s="606" t="inlineStr">
        <is>
          <t> </t>
        </is>
      </c>
      <c r="E50" s="606" t="inlineStr">
        <is>
          <t> </t>
        </is>
      </c>
      <c r="F50" s="606" t="inlineStr">
        <is>
          <t> </t>
        </is>
      </c>
      <c r="G50" s="606" t="n"/>
      <c r="H50" s="606" t="n"/>
      <c r="I50" s="606" t="n"/>
      <c r="J50" s="606" t="n"/>
      <c r="K50" s="606" t="n"/>
      <c r="L50" s="606" t="n"/>
      <c r="M50" s="606" t="n"/>
      <c r="N50" s="606" t="n"/>
      <c r="O50" s="429" t="n"/>
      <c r="P50" s="429" t="n"/>
      <c r="Q50" s="429" t="n"/>
      <c r="R50" s="429" t="n"/>
      <c r="S50" s="429" t="n"/>
      <c r="T50" s="429" t="n"/>
      <c r="U50" s="429" t="n"/>
      <c r="V50" s="429" t="n"/>
      <c r="W50" s="429" t="n"/>
      <c r="X50" s="429" t="n"/>
      <c r="Y50" s="429" t="n"/>
      <c r="Z50" s="429" t="n"/>
      <c r="AA50" s="429" t="n"/>
      <c r="AB50" s="429" t="n"/>
      <c r="AC50" s="429" t="n"/>
    </row>
    <row r="51" ht="30" customFormat="1" customHeight="1" s="605">
      <c r="A51" s="431" t="inlineStr">
        <is>
          <t>GR036</t>
        </is>
      </c>
      <c r="B51" s="606" t="inlineStr">
        <is>
          <t> </t>
        </is>
      </c>
      <c r="C51" s="606" t="inlineStr">
        <is>
          <t> </t>
        </is>
      </c>
      <c r="D51" s="606" t="inlineStr">
        <is>
          <t> </t>
        </is>
      </c>
      <c r="E51" s="606" t="inlineStr">
        <is>
          <t> </t>
        </is>
      </c>
      <c r="F51" s="606" t="inlineStr">
        <is>
          <t> </t>
        </is>
      </c>
      <c r="G51" s="606" t="n"/>
      <c r="H51" s="606" t="n"/>
      <c r="I51" s="606" t="n"/>
      <c r="J51" s="606" t="n"/>
      <c r="K51" s="606" t="n"/>
      <c r="L51" s="606" t="n"/>
      <c r="M51" s="606" t="n"/>
      <c r="N51" s="606" t="n"/>
      <c r="O51" s="429" t="n"/>
      <c r="P51" s="429" t="n"/>
      <c r="Q51" s="429" t="n"/>
      <c r="R51" s="429" t="n"/>
      <c r="S51" s="429" t="n"/>
      <c r="T51" s="429" t="n"/>
      <c r="U51" s="429" t="n"/>
      <c r="V51" s="429" t="n"/>
      <c r="W51" s="429" t="n"/>
      <c r="X51" s="429" t="n"/>
      <c r="Y51" s="429" t="n"/>
      <c r="Z51" s="429" t="n"/>
      <c r="AA51" s="429" t="n"/>
      <c r="AB51" s="429" t="n"/>
      <c r="AC51" s="429" t="n"/>
    </row>
    <row r="52" ht="30" customFormat="1" customHeight="1" s="605">
      <c r="A52" s="431" t="inlineStr">
        <is>
          <t>GR037</t>
        </is>
      </c>
      <c r="B52" s="606" t="inlineStr">
        <is>
          <t> </t>
        </is>
      </c>
      <c r="C52" s="606" t="inlineStr">
        <is>
          <t> </t>
        </is>
      </c>
      <c r="D52" s="606" t="inlineStr">
        <is>
          <t> </t>
        </is>
      </c>
      <c r="E52" s="606" t="inlineStr">
        <is>
          <t> </t>
        </is>
      </c>
      <c r="F52" s="606" t="inlineStr">
        <is>
          <t> </t>
        </is>
      </c>
      <c r="G52" s="606" t="n"/>
      <c r="H52" s="606" t="n"/>
      <c r="I52" s="606" t="n"/>
      <c r="J52" s="606" t="n"/>
      <c r="K52" s="606" t="n"/>
      <c r="L52" s="606" t="n"/>
      <c r="M52" s="606" t="n"/>
      <c r="N52" s="606" t="n"/>
      <c r="O52" s="429" t="n"/>
      <c r="P52" s="429" t="n"/>
      <c r="Q52" s="429" t="n"/>
      <c r="R52" s="429" t="n"/>
      <c r="S52" s="429" t="n"/>
      <c r="T52" s="429" t="n"/>
      <c r="U52" s="429" t="n"/>
      <c r="V52" s="429" t="n"/>
      <c r="W52" s="429" t="n"/>
      <c r="X52" s="429" t="n"/>
      <c r="Y52" s="429" t="n"/>
      <c r="Z52" s="429" t="n"/>
      <c r="AA52" s="429" t="n"/>
      <c r="AB52" s="429" t="n"/>
      <c r="AC52" s="429" t="n"/>
    </row>
    <row r="53" ht="30" customFormat="1" customHeight="1" s="605">
      <c r="A53" s="431" t="inlineStr">
        <is>
          <t>GR038</t>
        </is>
      </c>
      <c r="B53" s="606" t="inlineStr">
        <is>
          <t> </t>
        </is>
      </c>
      <c r="C53" s="606" t="inlineStr">
        <is>
          <t> </t>
        </is>
      </c>
      <c r="D53" s="606" t="inlineStr">
        <is>
          <t> </t>
        </is>
      </c>
      <c r="E53" s="606" t="inlineStr">
        <is>
          <t> </t>
        </is>
      </c>
      <c r="F53" s="606" t="inlineStr">
        <is>
          <t> </t>
        </is>
      </c>
      <c r="G53" s="606" t="n"/>
      <c r="H53" s="606" t="n"/>
      <c r="I53" s="606" t="n"/>
      <c r="J53" s="606" t="n"/>
      <c r="K53" s="606" t="n"/>
      <c r="L53" s="606" t="n"/>
      <c r="M53" s="606" t="n"/>
      <c r="N53" s="606" t="n"/>
      <c r="O53" s="429" t="n"/>
      <c r="P53" s="429" t="n"/>
      <c r="Q53" s="429" t="n"/>
      <c r="R53" s="429" t="n"/>
      <c r="S53" s="429" t="n"/>
      <c r="T53" s="429" t="n"/>
      <c r="U53" s="429" t="n"/>
      <c r="V53" s="429" t="n"/>
      <c r="W53" s="429" t="n"/>
      <c r="X53" s="429" t="n"/>
      <c r="Y53" s="429" t="n"/>
      <c r="Z53" s="429" t="n"/>
      <c r="AA53" s="429" t="n"/>
      <c r="AB53" s="429" t="n"/>
      <c r="AC53" s="429" t="n"/>
    </row>
    <row r="54" ht="30" customFormat="1" customHeight="1" s="605">
      <c r="A54" s="431" t="inlineStr">
        <is>
          <t>GR039</t>
        </is>
      </c>
      <c r="B54" s="606" t="inlineStr">
        <is>
          <t> </t>
        </is>
      </c>
      <c r="C54" s="606" t="inlineStr">
        <is>
          <t> </t>
        </is>
      </c>
      <c r="D54" s="606" t="inlineStr">
        <is>
          <t> </t>
        </is>
      </c>
      <c r="E54" s="606" t="inlineStr">
        <is>
          <t> </t>
        </is>
      </c>
      <c r="F54" s="606" t="inlineStr">
        <is>
          <t> </t>
        </is>
      </c>
      <c r="G54" s="606" t="n"/>
      <c r="H54" s="606" t="n"/>
      <c r="I54" s="606" t="n"/>
      <c r="J54" s="606" t="n"/>
      <c r="K54" s="606" t="n"/>
      <c r="L54" s="606" t="n"/>
      <c r="M54" s="606" t="n"/>
      <c r="N54" s="606" t="n"/>
      <c r="O54" s="429" t="n"/>
      <c r="P54" s="429" t="n"/>
      <c r="Q54" s="429" t="n"/>
      <c r="R54" s="429" t="n"/>
      <c r="S54" s="429" t="n"/>
      <c r="T54" s="429" t="n"/>
      <c r="U54" s="429" t="n"/>
      <c r="V54" s="429" t="n"/>
      <c r="W54" s="429" t="n"/>
      <c r="X54" s="429" t="n"/>
      <c r="Y54" s="429" t="n"/>
      <c r="Z54" s="429" t="n"/>
      <c r="AA54" s="429" t="n"/>
      <c r="AB54" s="429" t="n"/>
      <c r="AC54" s="429" t="n"/>
    </row>
    <row r="55" ht="30" customFormat="1" customHeight="1" s="605">
      <c r="A55" s="431" t="inlineStr">
        <is>
          <t>GR040</t>
        </is>
      </c>
      <c r="B55" s="606" t="inlineStr">
        <is>
          <t> </t>
        </is>
      </c>
      <c r="C55" s="606" t="inlineStr">
        <is>
          <t> </t>
        </is>
      </c>
      <c r="D55" s="606" t="inlineStr">
        <is>
          <t> </t>
        </is>
      </c>
      <c r="E55" s="606" t="inlineStr">
        <is>
          <t> </t>
        </is>
      </c>
      <c r="F55" s="606" t="inlineStr">
        <is>
          <t> </t>
        </is>
      </c>
      <c r="G55" s="606" t="n"/>
      <c r="H55" s="606" t="n"/>
      <c r="I55" s="606" t="n"/>
      <c r="J55" s="606" t="n"/>
      <c r="K55" s="606" t="n"/>
      <c r="L55" s="606" t="n"/>
      <c r="M55" s="606" t="n"/>
      <c r="N55" s="606" t="n"/>
      <c r="O55" s="429" t="n"/>
      <c r="P55" s="429" t="n"/>
      <c r="Q55" s="429" t="n"/>
      <c r="R55" s="429" t="n"/>
      <c r="S55" s="429" t="n"/>
      <c r="T55" s="429" t="n"/>
      <c r="U55" s="429" t="n"/>
      <c r="V55" s="429" t="n"/>
      <c r="W55" s="429" t="n"/>
      <c r="X55" s="429" t="n"/>
      <c r="Y55" s="429" t="n"/>
      <c r="Z55" s="429" t="n"/>
      <c r="AA55" s="429" t="n"/>
      <c r="AB55" s="429" t="n"/>
      <c r="AC55" s="429" t="n"/>
    </row>
    <row r="56" ht="30" customFormat="1" customHeight="1" s="605">
      <c r="A56" s="431" t="inlineStr">
        <is>
          <t>GR041</t>
        </is>
      </c>
      <c r="B56" s="606" t="inlineStr">
        <is>
          <t> </t>
        </is>
      </c>
      <c r="C56" s="606" t="inlineStr">
        <is>
          <t> </t>
        </is>
      </c>
      <c r="D56" s="606" t="inlineStr">
        <is>
          <t> </t>
        </is>
      </c>
      <c r="E56" s="606" t="inlineStr">
        <is>
          <t> </t>
        </is>
      </c>
      <c r="F56" s="606" t="inlineStr">
        <is>
          <t> </t>
        </is>
      </c>
      <c r="G56" s="606" t="n"/>
      <c r="H56" s="606" t="n"/>
      <c r="I56" s="606" t="n"/>
      <c r="J56" s="606" t="n"/>
      <c r="K56" s="606" t="n"/>
      <c r="L56" s="606" t="n"/>
      <c r="M56" s="606" t="n"/>
      <c r="N56" s="606" t="n"/>
      <c r="O56" s="429" t="n"/>
      <c r="P56" s="429" t="n"/>
      <c r="Q56" s="429" t="n"/>
      <c r="R56" s="429" t="n"/>
      <c r="S56" s="429" t="n"/>
      <c r="T56" s="429" t="n"/>
      <c r="U56" s="429" t="n"/>
      <c r="V56" s="429" t="n"/>
      <c r="W56" s="429" t="n"/>
      <c r="X56" s="429" t="n"/>
      <c r="Y56" s="429" t="n"/>
      <c r="Z56" s="429" t="n"/>
      <c r="AA56" s="429" t="n"/>
      <c r="AB56" s="429" t="n"/>
      <c r="AC56" s="429" t="n"/>
    </row>
    <row r="57" ht="30" customFormat="1" customHeight="1" s="605">
      <c r="A57" s="431" t="inlineStr">
        <is>
          <t>GR042</t>
        </is>
      </c>
      <c r="B57" s="606" t="inlineStr">
        <is>
          <t> </t>
        </is>
      </c>
      <c r="C57" s="606" t="inlineStr">
        <is>
          <t> </t>
        </is>
      </c>
      <c r="D57" s="606" t="inlineStr">
        <is>
          <t> </t>
        </is>
      </c>
      <c r="E57" s="606" t="inlineStr">
        <is>
          <t> </t>
        </is>
      </c>
      <c r="F57" s="606" t="inlineStr">
        <is>
          <t> </t>
        </is>
      </c>
      <c r="G57" s="606" t="n"/>
      <c r="H57" s="606" t="n"/>
      <c r="I57" s="606" t="n"/>
      <c r="J57" s="606" t="n"/>
      <c r="K57" s="606" t="n"/>
      <c r="L57" s="606" t="n"/>
      <c r="M57" s="606" t="n"/>
      <c r="N57" s="606" t="n"/>
      <c r="O57" s="429" t="n"/>
      <c r="P57" s="429" t="n"/>
      <c r="Q57" s="429" t="n"/>
      <c r="R57" s="429" t="n"/>
      <c r="S57" s="429" t="n"/>
      <c r="T57" s="429" t="n"/>
      <c r="U57" s="429" t="n"/>
      <c r="V57" s="429" t="n"/>
      <c r="W57" s="429" t="n"/>
      <c r="X57" s="429" t="n"/>
      <c r="Y57" s="429" t="n"/>
      <c r="Z57" s="429" t="n"/>
      <c r="AA57" s="429" t="n"/>
      <c r="AB57" s="429" t="n"/>
      <c r="AC57" s="429" t="n"/>
    </row>
    <row r="58" ht="30" customFormat="1" customHeight="1" s="605">
      <c r="A58" s="431" t="inlineStr">
        <is>
          <t>GR043</t>
        </is>
      </c>
      <c r="B58" s="606" t="inlineStr">
        <is>
          <t> </t>
        </is>
      </c>
      <c r="C58" s="606" t="inlineStr">
        <is>
          <t> </t>
        </is>
      </c>
      <c r="D58" s="606" t="inlineStr">
        <is>
          <t> </t>
        </is>
      </c>
      <c r="E58" s="606" t="inlineStr">
        <is>
          <t> </t>
        </is>
      </c>
      <c r="F58" s="606" t="inlineStr">
        <is>
          <t> </t>
        </is>
      </c>
      <c r="G58" s="606" t="n"/>
      <c r="H58" s="606" t="n"/>
      <c r="I58" s="606" t="n"/>
      <c r="J58" s="606" t="n"/>
      <c r="K58" s="606" t="n"/>
      <c r="L58" s="606" t="n"/>
      <c r="M58" s="606" t="n"/>
      <c r="N58" s="606" t="n"/>
      <c r="O58" s="429" t="n"/>
      <c r="P58" s="429" t="n"/>
      <c r="Q58" s="429" t="n"/>
      <c r="R58" s="429" t="n"/>
      <c r="S58" s="429" t="n"/>
      <c r="T58" s="429" t="n"/>
      <c r="U58" s="429" t="n"/>
      <c r="V58" s="429" t="n"/>
      <c r="W58" s="429" t="n"/>
      <c r="X58" s="429" t="n"/>
      <c r="Y58" s="429" t="n"/>
      <c r="Z58" s="429" t="n"/>
      <c r="AA58" s="429" t="n"/>
      <c r="AB58" s="429" t="n"/>
      <c r="AC58" s="429" t="n"/>
    </row>
    <row r="59" ht="30" customFormat="1" customHeight="1" s="605">
      <c r="A59" s="431" t="inlineStr">
        <is>
          <t>GR044</t>
        </is>
      </c>
      <c r="B59" s="606" t="inlineStr">
        <is>
          <t> </t>
        </is>
      </c>
      <c r="C59" s="606" t="inlineStr">
        <is>
          <t> </t>
        </is>
      </c>
      <c r="D59" s="606" t="inlineStr">
        <is>
          <t> </t>
        </is>
      </c>
      <c r="E59" s="606" t="inlineStr">
        <is>
          <t> </t>
        </is>
      </c>
      <c r="F59" s="606" t="inlineStr">
        <is>
          <t> </t>
        </is>
      </c>
      <c r="G59" s="606" t="n"/>
      <c r="H59" s="606" t="n"/>
      <c r="I59" s="606" t="n"/>
      <c r="J59" s="606" t="n"/>
      <c r="K59" s="606" t="n"/>
      <c r="L59" s="606" t="n"/>
      <c r="M59" s="606" t="n"/>
      <c r="N59" s="606" t="n"/>
      <c r="O59" s="429" t="n"/>
      <c r="P59" s="429" t="n"/>
      <c r="Q59" s="429" t="n"/>
      <c r="R59" s="429" t="n"/>
      <c r="S59" s="429" t="n"/>
      <c r="T59" s="429" t="n"/>
      <c r="U59" s="429" t="n"/>
      <c r="V59" s="429" t="n"/>
      <c r="W59" s="429" t="n"/>
      <c r="X59" s="429" t="n"/>
      <c r="Y59" s="429" t="n"/>
      <c r="Z59" s="429" t="n"/>
      <c r="AA59" s="429" t="n"/>
      <c r="AB59" s="429" t="n"/>
      <c r="AC59" s="429" t="n"/>
    </row>
    <row r="60" ht="30" customFormat="1" customHeight="1" s="605">
      <c r="A60" s="431" t="inlineStr">
        <is>
          <t>GR045</t>
        </is>
      </c>
      <c r="B60" s="606" t="inlineStr">
        <is>
          <t> </t>
        </is>
      </c>
      <c r="C60" s="606" t="inlineStr">
        <is>
          <t> </t>
        </is>
      </c>
      <c r="D60" s="606" t="inlineStr">
        <is>
          <t> </t>
        </is>
      </c>
      <c r="E60" s="606" t="inlineStr">
        <is>
          <t> </t>
        </is>
      </c>
      <c r="F60" s="606" t="inlineStr">
        <is>
          <t> </t>
        </is>
      </c>
      <c r="G60" s="606" t="n"/>
      <c r="H60" s="606" t="n"/>
      <c r="I60" s="606" t="n"/>
      <c r="J60" s="606" t="n"/>
      <c r="K60" s="606" t="n"/>
      <c r="L60" s="606" t="n"/>
      <c r="M60" s="606" t="n"/>
      <c r="N60" s="606" t="n"/>
      <c r="O60" s="429" t="n"/>
      <c r="P60" s="429" t="n"/>
      <c r="Q60" s="429" t="n"/>
      <c r="R60" s="429" t="n"/>
      <c r="S60" s="429" t="n"/>
      <c r="T60" s="429" t="n"/>
      <c r="U60" s="429" t="n"/>
      <c r="V60" s="429" t="n"/>
      <c r="W60" s="429" t="n"/>
      <c r="X60" s="429" t="n"/>
      <c r="Y60" s="429" t="n"/>
      <c r="Z60" s="429" t="n"/>
      <c r="AA60" s="429" t="n"/>
      <c r="AB60" s="429" t="n"/>
      <c r="AC60" s="429" t="n"/>
    </row>
    <row r="61" ht="30" customFormat="1" customHeight="1" s="605">
      <c r="A61" s="431" t="inlineStr">
        <is>
          <t>GR046</t>
        </is>
      </c>
      <c r="B61" s="606" t="inlineStr">
        <is>
          <t> </t>
        </is>
      </c>
      <c r="C61" s="606" t="inlineStr">
        <is>
          <t> </t>
        </is>
      </c>
      <c r="D61" s="606" t="inlineStr">
        <is>
          <t> </t>
        </is>
      </c>
      <c r="E61" s="606" t="inlineStr">
        <is>
          <t> </t>
        </is>
      </c>
      <c r="F61" s="606" t="inlineStr">
        <is>
          <t> </t>
        </is>
      </c>
      <c r="G61" s="606" t="n"/>
      <c r="H61" s="606" t="n"/>
      <c r="I61" s="606" t="n"/>
      <c r="J61" s="606" t="n"/>
      <c r="K61" s="606" t="n"/>
      <c r="L61" s="606" t="n"/>
      <c r="M61" s="606" t="n"/>
      <c r="N61" s="606" t="n"/>
      <c r="O61" s="429" t="n"/>
      <c r="P61" s="429" t="n"/>
      <c r="Q61" s="429" t="n"/>
      <c r="R61" s="429" t="n"/>
      <c r="S61" s="429" t="n"/>
      <c r="T61" s="429" t="n"/>
      <c r="U61" s="429" t="n"/>
      <c r="V61" s="429" t="n"/>
      <c r="W61" s="429" t="n"/>
      <c r="X61" s="429" t="n"/>
      <c r="Y61" s="429" t="n"/>
      <c r="Z61" s="429" t="n"/>
      <c r="AA61" s="429" t="n"/>
      <c r="AB61" s="429" t="n"/>
      <c r="AC61" s="429" t="n"/>
    </row>
    <row r="62" ht="30" customFormat="1" customHeight="1" s="605">
      <c r="A62" s="431" t="inlineStr">
        <is>
          <t>GR047</t>
        </is>
      </c>
      <c r="B62" s="606" t="inlineStr">
        <is>
          <t> </t>
        </is>
      </c>
      <c r="C62" s="606" t="inlineStr">
        <is>
          <t> </t>
        </is>
      </c>
      <c r="D62" s="606" t="inlineStr">
        <is>
          <t> </t>
        </is>
      </c>
      <c r="E62" s="606" t="inlineStr">
        <is>
          <t> </t>
        </is>
      </c>
      <c r="F62" s="606" t="inlineStr">
        <is>
          <t> </t>
        </is>
      </c>
      <c r="G62" s="606" t="n"/>
      <c r="H62" s="606" t="n"/>
      <c r="I62" s="606" t="n"/>
      <c r="J62" s="606" t="n"/>
      <c r="K62" s="606" t="n"/>
      <c r="L62" s="606" t="n"/>
      <c r="M62" s="606" t="n"/>
      <c r="N62" s="606" t="n"/>
      <c r="O62" s="429" t="n"/>
      <c r="P62" s="429" t="n"/>
      <c r="Q62" s="429" t="n"/>
      <c r="R62" s="429" t="n"/>
      <c r="S62" s="429" t="n"/>
      <c r="T62" s="429" t="n"/>
      <c r="U62" s="429" t="n"/>
      <c r="V62" s="429" t="n"/>
      <c r="W62" s="429" t="n"/>
      <c r="X62" s="429" t="n"/>
      <c r="Y62" s="429" t="n"/>
      <c r="Z62" s="429" t="n"/>
      <c r="AA62" s="429" t="n"/>
      <c r="AB62" s="429" t="n"/>
      <c r="AC62" s="429" t="n"/>
    </row>
    <row r="63" ht="30" customFormat="1" customHeight="1" s="605">
      <c r="A63" s="431" t="inlineStr">
        <is>
          <t>GR048</t>
        </is>
      </c>
      <c r="B63" s="606" t="inlineStr">
        <is>
          <t> </t>
        </is>
      </c>
      <c r="C63" s="606" t="inlineStr">
        <is>
          <t> </t>
        </is>
      </c>
      <c r="D63" s="606" t="inlineStr">
        <is>
          <t> </t>
        </is>
      </c>
      <c r="E63" s="606" t="inlineStr">
        <is>
          <t> </t>
        </is>
      </c>
      <c r="F63" s="606" t="inlineStr">
        <is>
          <t> </t>
        </is>
      </c>
      <c r="G63" s="606" t="n"/>
      <c r="H63" s="606" t="n"/>
      <c r="I63" s="606" t="n"/>
      <c r="J63" s="606" t="n"/>
      <c r="K63" s="606" t="n"/>
      <c r="L63" s="606" t="n"/>
      <c r="M63" s="606" t="n"/>
      <c r="N63" s="606" t="n"/>
      <c r="O63" s="429" t="n"/>
      <c r="P63" s="429" t="n"/>
      <c r="Q63" s="429" t="n"/>
      <c r="R63" s="429" t="n"/>
      <c r="S63" s="429" t="n"/>
      <c r="T63" s="429" t="n"/>
      <c r="U63" s="429" t="n"/>
      <c r="V63" s="429" t="n"/>
      <c r="W63" s="429" t="n"/>
      <c r="X63" s="429" t="n"/>
      <c r="Y63" s="429" t="n"/>
      <c r="Z63" s="429" t="n"/>
      <c r="AA63" s="429" t="n"/>
      <c r="AB63" s="429" t="n"/>
      <c r="AC63" s="429" t="n"/>
    </row>
    <row r="64" ht="30" customFormat="1" customHeight="1" s="605">
      <c r="A64" s="431" t="inlineStr">
        <is>
          <t>GR049</t>
        </is>
      </c>
      <c r="B64" s="606" t="inlineStr">
        <is>
          <t> </t>
        </is>
      </c>
      <c r="C64" s="606" t="inlineStr">
        <is>
          <t> </t>
        </is>
      </c>
      <c r="D64" s="606" t="inlineStr">
        <is>
          <t> </t>
        </is>
      </c>
      <c r="E64" s="606" t="inlineStr">
        <is>
          <t> </t>
        </is>
      </c>
      <c r="F64" s="606" t="inlineStr">
        <is>
          <t> </t>
        </is>
      </c>
      <c r="G64" s="606" t="n"/>
      <c r="H64" s="606" t="n"/>
      <c r="I64" s="606" t="n"/>
      <c r="J64" s="606" t="n"/>
      <c r="K64" s="606" t="n"/>
      <c r="L64" s="606" t="n"/>
      <c r="M64" s="606" t="n"/>
      <c r="N64" s="606" t="n"/>
      <c r="O64" s="429" t="n"/>
      <c r="P64" s="429" t="n"/>
      <c r="Q64" s="429" t="n"/>
      <c r="R64" s="429" t="n"/>
      <c r="S64" s="429" t="n"/>
      <c r="T64" s="429" t="n"/>
      <c r="U64" s="429" t="n"/>
      <c r="V64" s="429" t="n"/>
      <c r="W64" s="429" t="n"/>
      <c r="X64" s="429" t="n"/>
      <c r="Y64" s="429" t="n"/>
      <c r="Z64" s="429" t="n"/>
      <c r="AA64" s="429" t="n"/>
      <c r="AB64" s="429" t="n"/>
      <c r="AC64" s="429" t="n"/>
    </row>
    <row r="65" ht="30" customFormat="1" customHeight="1" s="605">
      <c r="A65" s="431" t="inlineStr">
        <is>
          <t>GR050</t>
        </is>
      </c>
      <c r="B65" s="606" t="inlineStr">
        <is>
          <t> </t>
        </is>
      </c>
      <c r="C65" s="606" t="n"/>
      <c r="D65" s="606" t="n"/>
      <c r="E65" s="606" t="n"/>
      <c r="F65" s="606" t="n"/>
      <c r="G65" s="606" t="n"/>
      <c r="H65" s="606" t="n"/>
      <c r="I65" s="606" t="n"/>
      <c r="J65" s="606" t="n"/>
      <c r="K65" s="606" t="n"/>
      <c r="L65" s="606" t="n"/>
      <c r="M65" s="606" t="n"/>
      <c r="N65" s="606" t="n"/>
      <c r="O65" s="429" t="n"/>
      <c r="P65" s="429" t="n"/>
      <c r="Q65" s="429" t="n"/>
      <c r="R65" s="429" t="n"/>
      <c r="S65" s="429" t="n"/>
      <c r="T65" s="429" t="n"/>
      <c r="U65" s="429" t="n"/>
      <c r="V65" s="429" t="n"/>
      <c r="W65" s="429" t="n"/>
      <c r="X65" s="429" t="n"/>
      <c r="Y65" s="429" t="n"/>
      <c r="Z65" s="429" t="n"/>
      <c r="AA65" s="429" t="n"/>
      <c r="AB65" s="429" t="n"/>
      <c r="AC65" s="429" t="n"/>
    </row>
    <row r="66" ht="42.75" customFormat="1" customHeight="1" s="607">
      <c r="A66" s="431" t="inlineStr">
        <is>
          <t>GR051</t>
        </is>
      </c>
      <c r="B66" s="848" t="n"/>
      <c r="C66" s="894" t="n"/>
      <c r="D66" s="894" t="n"/>
      <c r="E66" s="894" t="n"/>
      <c r="F66" s="895" t="n"/>
      <c r="G66" s="606" t="n"/>
      <c r="H66" s="606" t="n"/>
      <c r="I66" s="606" t="n"/>
      <c r="J66" s="606" t="n"/>
      <c r="K66" s="606" t="n"/>
      <c r="L66" s="606" t="n"/>
      <c r="M66" s="606" t="n"/>
      <c r="N66" s="606" t="n"/>
      <c r="O66" s="429" t="n"/>
      <c r="P66" s="429" t="n"/>
      <c r="Q66" s="429" t="n"/>
      <c r="R66" s="429" t="n"/>
      <c r="S66" s="429" t="n"/>
      <c r="T66" s="429" t="n"/>
      <c r="U66" s="429" t="n"/>
      <c r="V66" s="429" t="n"/>
      <c r="W66" s="429" t="n"/>
      <c r="X66" s="429" t="n"/>
      <c r="Y66" s="429" t="n"/>
      <c r="Z66" s="429" t="n"/>
      <c r="AA66" s="429" t="n"/>
      <c r="AB66" s="429" t="n"/>
      <c r="AC66" s="429" t="n"/>
    </row>
    <row r="67" ht="20" customHeight="1" s="885">
      <c r="A67" s="849" t="n"/>
      <c r="B67" s="849" t="n"/>
      <c r="C67" s="849" t="n"/>
      <c r="D67" s="849" t="n"/>
      <c r="E67" s="849" t="n"/>
      <c r="F67" s="849" t="n"/>
      <c r="G67" s="849" t="n"/>
      <c r="H67" s="849" t="n"/>
      <c r="I67" s="849" t="n"/>
      <c r="J67" s="849" t="n"/>
      <c r="K67" s="849" t="n"/>
      <c r="L67" s="849" t="n"/>
      <c r="M67" s="849" t="n"/>
      <c r="N67" s="849" t="n"/>
    </row>
    <row r="68" ht="20" customHeight="1" s="885">
      <c r="A68" s="849" t="n"/>
      <c r="B68" s="849" t="n"/>
      <c r="C68" s="849" t="n"/>
      <c r="D68" s="849" t="n"/>
      <c r="E68" s="849" t="n"/>
      <c r="F68" s="849" t="n"/>
      <c r="G68" s="849" t="n"/>
      <c r="H68" s="849" t="n"/>
      <c r="I68" s="849" t="n"/>
      <c r="J68" s="849" t="n"/>
      <c r="K68" s="849" t="n"/>
      <c r="L68" s="849" t="n"/>
      <c r="M68" s="849" t="n"/>
      <c r="N68" s="849" t="n"/>
    </row>
    <row r="69" ht="20" customHeight="1" s="885">
      <c r="A69" s="608" t="inlineStr">
        <is>
          <t>Poste mémoire - Expositions sur un client ou un groupe de clients liés dépassant la limite prudentielle</t>
        </is>
      </c>
      <c r="B69" s="609" t="n"/>
      <c r="C69" s="609" t="n"/>
      <c r="D69" s="609" t="n"/>
      <c r="E69" s="849" t="n"/>
      <c r="F69" s="849" t="n"/>
      <c r="G69" s="849" t="n"/>
      <c r="H69" s="849" t="n"/>
      <c r="I69" s="849" t="n"/>
      <c r="J69" s="849" t="n"/>
      <c r="K69" s="849" t="n"/>
      <c r="L69" s="849" t="n"/>
      <c r="M69" s="849" t="n"/>
      <c r="N69" s="849" t="n"/>
    </row>
    <row r="70" ht="20" customHeight="1" s="885">
      <c r="A70" s="849" t="n"/>
      <c r="B70" s="713" t="n"/>
      <c r="C70" s="713" t="n"/>
      <c r="D70" s="713" t="n"/>
      <c r="E70" s="849" t="n"/>
      <c r="F70" s="849" t="n"/>
      <c r="G70" s="849" t="n"/>
      <c r="H70" s="849" t="n"/>
      <c r="I70" s="849" t="n"/>
      <c r="J70" s="849" t="n"/>
      <c r="K70" s="849" t="n"/>
      <c r="L70" s="849" t="n"/>
      <c r="M70" s="849" t="n"/>
      <c r="N70" s="849" t="n"/>
    </row>
    <row r="71" ht="172.5" customFormat="1" customHeight="1" s="409">
      <c r="A71" s="610" t="inlineStr">
        <is>
          <t>Code DISPRU</t>
        </is>
      </c>
      <c r="B71" s="610" t="n"/>
      <c r="C71" s="610" t="n"/>
      <c r="D71" s="610" t="n"/>
      <c r="E71" s="610" t="n"/>
      <c r="F71" s="610" t="n"/>
      <c r="G71" s="434" t="n"/>
      <c r="H71" s="434" t="n"/>
      <c r="I71" s="434" t="n"/>
      <c r="J71" s="434" t="n"/>
      <c r="K71" s="434" t="n"/>
      <c r="L71" s="434" t="n"/>
      <c r="M71" s="434" t="n"/>
      <c r="N71" s="434" t="n"/>
    </row>
    <row r="72" ht="24.75" customHeight="1" s="885">
      <c r="A72" s="431" t="inlineStr">
        <is>
          <t>GR052</t>
        </is>
      </c>
      <c r="B72" s="611" t="n"/>
      <c r="C72" s="611" t="n"/>
      <c r="D72" s="611" t="n"/>
      <c r="E72" s="611" t="n"/>
      <c r="F72" s="611" t="n"/>
      <c r="G72" s="849" t="n"/>
      <c r="H72" s="849" t="n"/>
      <c r="I72" s="849" t="n"/>
      <c r="J72" s="849" t="n"/>
      <c r="K72" s="849" t="n"/>
      <c r="L72" s="849" t="n"/>
      <c r="M72" s="849" t="n"/>
      <c r="N72" s="849" t="n"/>
    </row>
    <row r="73" ht="24.75" customHeight="1" s="885">
      <c r="A73" s="431" t="inlineStr">
        <is>
          <t>GR053</t>
        </is>
      </c>
      <c r="B73" s="611" t="n"/>
      <c r="C73" s="611" t="n"/>
      <c r="D73" s="611" t="n"/>
      <c r="E73" s="611" t="n"/>
      <c r="F73" s="611" t="n"/>
      <c r="G73" s="849" t="n"/>
      <c r="H73" s="849" t="n"/>
      <c r="I73" s="849" t="n"/>
      <c r="J73" s="849" t="n"/>
      <c r="K73" s="849" t="n"/>
      <c r="L73" s="849" t="n"/>
      <c r="M73" s="849" t="n"/>
      <c r="N73" s="849" t="n"/>
    </row>
    <row r="74" ht="24.75" customHeight="1" s="885">
      <c r="A74" s="431" t="inlineStr">
        <is>
          <t>GR054</t>
        </is>
      </c>
      <c r="B74" s="611" t="n"/>
      <c r="C74" s="611" t="n"/>
      <c r="D74" s="611" t="n"/>
      <c r="E74" s="611" t="n"/>
      <c r="F74" s="611" t="n"/>
      <c r="G74" s="849" t="n"/>
      <c r="H74" s="849" t="n"/>
      <c r="I74" s="849" t="n"/>
      <c r="J74" s="849" t="n"/>
      <c r="K74" s="849" t="n"/>
      <c r="L74" s="849" t="n"/>
      <c r="M74" s="849" t="n"/>
      <c r="N74" s="849" t="n"/>
    </row>
    <row r="75" ht="24.75" customHeight="1" s="885">
      <c r="A75" s="431" t="inlineStr">
        <is>
          <t>GR055</t>
        </is>
      </c>
      <c r="B75" s="611" t="n"/>
      <c r="C75" s="611" t="n"/>
      <c r="D75" s="611" t="n"/>
      <c r="E75" s="611" t="n"/>
      <c r="F75" s="611" t="n"/>
      <c r="G75" s="849" t="n"/>
      <c r="H75" s="849" t="n"/>
      <c r="I75" s="849" t="n"/>
      <c r="J75" s="849" t="n"/>
      <c r="K75" s="849" t="n"/>
      <c r="L75" s="849" t="n"/>
      <c r="M75" s="849" t="n"/>
      <c r="N75" s="849" t="n"/>
    </row>
    <row r="76" ht="24.75" customHeight="1" s="885">
      <c r="A76" s="431" t="inlineStr">
        <is>
          <t>GR056</t>
        </is>
      </c>
      <c r="B76" s="611" t="n"/>
      <c r="C76" s="611" t="n"/>
      <c r="D76" s="611" t="n"/>
      <c r="E76" s="611" t="n"/>
      <c r="F76" s="611" t="n"/>
      <c r="G76" s="849" t="n"/>
      <c r="H76" s="849" t="n"/>
      <c r="I76" s="849" t="n"/>
      <c r="J76" s="849" t="n"/>
      <c r="K76" s="849" t="n"/>
      <c r="L76" s="849" t="n"/>
      <c r="M76" s="849" t="n"/>
      <c r="N76" s="849" t="n"/>
    </row>
    <row r="77" ht="24.75" customHeight="1" s="885">
      <c r="A77" s="431" t="inlineStr">
        <is>
          <t>GR057</t>
        </is>
      </c>
      <c r="B77" s="611" t="n"/>
      <c r="C77" s="611" t="n"/>
      <c r="D77" s="611" t="n"/>
      <c r="E77" s="611" t="n"/>
      <c r="F77" s="611" t="n"/>
      <c r="G77" s="849" t="n"/>
      <c r="H77" s="849" t="n"/>
      <c r="I77" s="849" t="n"/>
      <c r="J77" s="849" t="n"/>
      <c r="K77" s="849" t="n"/>
      <c r="L77" s="849" t="n"/>
      <c r="M77" s="849" t="n"/>
      <c r="N77" s="849" t="n"/>
    </row>
    <row r="78" ht="24.75" customHeight="1" s="885">
      <c r="A78" s="431" t="inlineStr">
        <is>
          <t>GR058</t>
        </is>
      </c>
      <c r="B78" s="611" t="n"/>
      <c r="C78" s="611" t="n"/>
      <c r="D78" s="611" t="n"/>
      <c r="E78" s="611" t="n"/>
      <c r="F78" s="611" t="n"/>
      <c r="G78" s="849" t="n"/>
      <c r="H78" s="849" t="n"/>
      <c r="I78" s="849" t="n"/>
      <c r="J78" s="849" t="n"/>
      <c r="K78" s="849" t="n"/>
      <c r="L78" s="849" t="n"/>
      <c r="M78" s="849" t="n"/>
      <c r="N78" s="849" t="n"/>
    </row>
    <row r="79" ht="24.75" customHeight="1" s="885">
      <c r="A79" s="431" t="inlineStr">
        <is>
          <t>GR059</t>
        </is>
      </c>
      <c r="B79" s="611" t="n"/>
      <c r="C79" s="611" t="n"/>
      <c r="D79" s="611" t="n"/>
      <c r="E79" s="611" t="n"/>
      <c r="F79" s="611" t="n"/>
      <c r="G79" s="849" t="n"/>
      <c r="H79" s="849" t="n"/>
      <c r="I79" s="849" t="n"/>
      <c r="J79" s="849" t="n"/>
      <c r="K79" s="849" t="n"/>
      <c r="L79" s="849" t="n"/>
      <c r="M79" s="849" t="n"/>
      <c r="N79" s="849" t="n"/>
    </row>
    <row r="80" ht="24.75" customHeight="1" s="885">
      <c r="A80" s="431" t="inlineStr">
        <is>
          <t>GR060</t>
        </is>
      </c>
      <c r="B80" s="611" t="n"/>
      <c r="C80" s="611" t="n"/>
      <c r="D80" s="611" t="n"/>
      <c r="E80" s="611" t="n"/>
      <c r="F80" s="611" t="n"/>
      <c r="G80" s="849" t="n"/>
      <c r="H80" s="849" t="n"/>
      <c r="I80" s="849" t="n"/>
      <c r="J80" s="849" t="n"/>
      <c r="K80" s="849" t="n"/>
      <c r="L80" s="849" t="n"/>
      <c r="M80" s="849" t="n"/>
      <c r="N80" s="849" t="n"/>
    </row>
    <row r="81" ht="24.75" customHeight="1" s="885">
      <c r="A81" s="431" t="inlineStr">
        <is>
          <t>GR061</t>
        </is>
      </c>
      <c r="B81" s="611" t="n"/>
      <c r="C81" s="611" t="n"/>
      <c r="D81" s="611" t="n"/>
      <c r="E81" s="611" t="n"/>
      <c r="F81" s="611" t="n"/>
      <c r="G81" s="849" t="n"/>
      <c r="H81" s="849" t="n"/>
      <c r="I81" s="849" t="n"/>
      <c r="J81" s="849" t="n"/>
      <c r="K81" s="849" t="n"/>
      <c r="L81" s="849" t="n"/>
      <c r="M81" s="849" t="n"/>
      <c r="N81" s="849" t="n"/>
    </row>
    <row r="82" ht="24.75" customHeight="1" s="885">
      <c r="A82" s="431" t="inlineStr">
        <is>
          <t>GR062</t>
        </is>
      </c>
      <c r="B82" s="611" t="n"/>
      <c r="C82" s="611" t="n"/>
      <c r="D82" s="611" t="n"/>
      <c r="E82" s="611" t="n"/>
      <c r="F82" s="611" t="n"/>
      <c r="G82" s="849" t="n"/>
      <c r="H82" s="849" t="n"/>
      <c r="I82" s="849" t="n"/>
      <c r="J82" s="849" t="n"/>
      <c r="K82" s="849" t="n"/>
      <c r="L82" s="849" t="n"/>
      <c r="M82" s="849" t="n"/>
      <c r="N82" s="849" t="n"/>
    </row>
    <row r="83" ht="24.75" customHeight="1" s="885">
      <c r="A83" s="431" t="inlineStr">
        <is>
          <t>GR063</t>
        </is>
      </c>
      <c r="B83" s="611" t="n"/>
      <c r="C83" s="611" t="n"/>
      <c r="D83" s="611" t="n"/>
      <c r="E83" s="611" t="n"/>
      <c r="F83" s="611" t="n"/>
      <c r="G83" s="849" t="n"/>
      <c r="H83" s="849" t="n"/>
      <c r="I83" s="849" t="n"/>
      <c r="J83" s="849" t="n"/>
      <c r="K83" s="849" t="n"/>
      <c r="L83" s="849" t="n"/>
      <c r="M83" s="849" t="n"/>
      <c r="N83" s="849" t="n"/>
    </row>
    <row r="84" ht="24.75" customHeight="1" s="885">
      <c r="A84" s="431" t="inlineStr">
        <is>
          <t>GR064</t>
        </is>
      </c>
      <c r="B84" s="611" t="n"/>
      <c r="C84" s="611" t="n"/>
      <c r="D84" s="611" t="n"/>
      <c r="E84" s="611" t="n"/>
      <c r="F84" s="611" t="n"/>
      <c r="G84" s="849" t="n"/>
      <c r="H84" s="849" t="n"/>
      <c r="I84" s="849" t="n"/>
      <c r="J84" s="849" t="n"/>
      <c r="K84" s="849" t="n"/>
      <c r="L84" s="849" t="n"/>
      <c r="M84" s="849" t="n"/>
      <c r="N84" s="849" t="n"/>
    </row>
    <row r="85" ht="24.75" customHeight="1" s="885">
      <c r="A85" s="431" t="inlineStr">
        <is>
          <t>GR065</t>
        </is>
      </c>
      <c r="B85" s="611" t="n"/>
      <c r="C85" s="611" t="n"/>
      <c r="D85" s="611" t="n"/>
      <c r="E85" s="611" t="n"/>
      <c r="F85" s="611" t="n"/>
      <c r="G85" s="849" t="n"/>
      <c r="H85" s="849" t="n"/>
      <c r="I85" s="849" t="n"/>
      <c r="J85" s="849" t="n"/>
      <c r="K85" s="849" t="n"/>
      <c r="L85" s="849" t="n"/>
      <c r="M85" s="849" t="n"/>
      <c r="N85" s="849" t="n"/>
    </row>
    <row r="86" ht="24.75" customHeight="1" s="885">
      <c r="A86" s="431" t="inlineStr">
        <is>
          <t>GR066</t>
        </is>
      </c>
      <c r="B86" s="611" t="n"/>
      <c r="C86" s="611" t="n"/>
      <c r="D86" s="611" t="n"/>
      <c r="E86" s="611" t="n"/>
      <c r="F86" s="611" t="n"/>
      <c r="G86" s="849" t="n"/>
      <c r="H86" s="849" t="n"/>
      <c r="I86" s="849" t="n"/>
      <c r="J86" s="849" t="n"/>
      <c r="K86" s="849" t="n"/>
      <c r="L86" s="849" t="n"/>
      <c r="M86" s="849" t="n"/>
      <c r="N86" s="849" t="n"/>
    </row>
    <row r="87" ht="24.75" customHeight="1" s="885">
      <c r="A87" s="431" t="inlineStr">
        <is>
          <t>GR067</t>
        </is>
      </c>
      <c r="B87" s="611" t="n"/>
      <c r="C87" s="611" t="n"/>
      <c r="D87" s="611" t="n"/>
      <c r="E87" s="611" t="n"/>
      <c r="F87" s="611" t="n"/>
      <c r="G87" s="849" t="n"/>
      <c r="H87" s="849" t="n"/>
      <c r="I87" s="849" t="n"/>
      <c r="J87" s="849" t="n"/>
      <c r="K87" s="849" t="n"/>
      <c r="L87" s="849" t="n"/>
      <c r="M87" s="849" t="n"/>
      <c r="N87" s="849" t="n"/>
    </row>
    <row r="88" ht="24.75" customHeight="1" s="885">
      <c r="A88" s="431" t="inlineStr">
        <is>
          <t>GR068</t>
        </is>
      </c>
      <c r="B88" s="611" t="n"/>
      <c r="C88" s="611" t="n"/>
      <c r="D88" s="611" t="n"/>
      <c r="E88" s="611" t="n"/>
      <c r="F88" s="611" t="n"/>
      <c r="G88" s="849" t="n"/>
      <c r="H88" s="849" t="n"/>
      <c r="I88" s="849" t="n"/>
      <c r="J88" s="849" t="n"/>
      <c r="K88" s="849" t="n"/>
      <c r="L88" s="849" t="n"/>
      <c r="M88" s="849" t="n"/>
      <c r="N88" s="849" t="n"/>
    </row>
    <row r="89" ht="24.75" customHeight="1" s="885">
      <c r="A89" s="431" t="inlineStr">
        <is>
          <t>GR069</t>
        </is>
      </c>
      <c r="B89" s="611" t="n"/>
      <c r="C89" s="611" t="n"/>
      <c r="D89" s="611" t="n"/>
      <c r="E89" s="611" t="n"/>
      <c r="F89" s="611" t="n"/>
      <c r="G89" s="849" t="n"/>
      <c r="H89" s="849" t="n"/>
      <c r="I89" s="849" t="n"/>
      <c r="J89" s="849" t="n"/>
      <c r="K89" s="849" t="n"/>
      <c r="L89" s="849" t="n"/>
      <c r="M89" s="849" t="n"/>
      <c r="N89" s="849" t="n"/>
    </row>
    <row r="90" ht="24.75" customHeight="1" s="885">
      <c r="A90" s="431" t="inlineStr">
        <is>
          <t>GR070</t>
        </is>
      </c>
      <c r="B90" s="611" t="n"/>
      <c r="C90" s="611" t="n"/>
      <c r="D90" s="611" t="n"/>
      <c r="E90" s="611" t="n"/>
      <c r="F90" s="611" t="n"/>
      <c r="G90" s="849" t="n"/>
      <c r="H90" s="849" t="n"/>
      <c r="I90" s="849" t="n"/>
      <c r="J90" s="849" t="n"/>
      <c r="K90" s="849" t="n"/>
      <c r="L90" s="849" t="n"/>
      <c r="M90" s="849" t="n"/>
      <c r="N90" s="849" t="n"/>
    </row>
    <row r="91" ht="24.75" customHeight="1" s="885">
      <c r="A91" s="431" t="inlineStr">
        <is>
          <t>GR071</t>
        </is>
      </c>
      <c r="B91" s="611" t="n"/>
      <c r="C91" s="611" t="n"/>
      <c r="D91" s="611" t="n"/>
      <c r="E91" s="611" t="n"/>
      <c r="F91" s="611" t="n"/>
      <c r="G91" s="849" t="n"/>
      <c r="H91" s="849" t="n"/>
      <c r="I91" s="849" t="n"/>
      <c r="J91" s="849" t="n"/>
      <c r="K91" s="849" t="n"/>
      <c r="L91" s="849" t="n"/>
      <c r="M91" s="849" t="n"/>
      <c r="N91" s="84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6e+E3vZa34WFl5M5zCuqw==" formatRows="1" sort="1" spinCount="100000" hashValue="hYGEQdaoqiQp23scm3Laj74XLRZaJKP43tXxuaSydPw7179/WMnyEzg+gfWSxf2qa8lUpg4MieWNKHyDvPrcAg=="/>
  <mergeCells count="31">
    <mergeCell ref="B10:B14"/>
    <mergeCell ref="Z9:Z14"/>
    <mergeCell ref="A9:A14"/>
    <mergeCell ref="S9:Y9"/>
    <mergeCell ref="R13:R14"/>
    <mergeCell ref="A15:H15"/>
    <mergeCell ref="O9:O14"/>
    <mergeCell ref="B66:F66"/>
    <mergeCell ref="S13:U13"/>
    <mergeCell ref="Q9:R12"/>
    <mergeCell ref="AA9:AA14"/>
    <mergeCell ref="P9:P14"/>
    <mergeCell ref="S10:X12"/>
    <mergeCell ref="I11:N12"/>
    <mergeCell ref="AB9:AB14"/>
    <mergeCell ref="D10:D14"/>
    <mergeCell ref="F10:F14"/>
    <mergeCell ref="A70:D70"/>
    <mergeCell ref="H13:H14"/>
    <mergeCell ref="I13:K13"/>
    <mergeCell ref="A1:AB1"/>
    <mergeCell ref="B9:F9"/>
    <mergeCell ref="E10:E14"/>
    <mergeCell ref="AC9:AC14"/>
    <mergeCell ref="Y10:Y14"/>
    <mergeCell ref="Q13:Q14"/>
    <mergeCell ref="L13:N13"/>
    <mergeCell ref="C10:C14"/>
    <mergeCell ref="V13:X13"/>
    <mergeCell ref="G9:N9"/>
    <mergeCell ref="G11:G14"/>
  </mergeCells>
  <pageMargins left="0.708333333333333" right="0.708333333333333" top="0.747916666666667" bottom="0.747916666666667" header="0.511811023622047" footer="0.315277777777778"/>
  <pageSetup orientation="landscape" paperSize="9" scale="23" horizontalDpi="300" verticalDpi="300"/>
  <headerFooter>
    <oddHeader/>
    <oddFooter>&amp;R&amp;P</oddFooter>
    <evenHeader/>
    <evenFooter/>
    <firstHeader/>
    <firstFooter/>
  </headerFooter>
  <rowBreaks count="1" manualBreakCount="1">
    <brk id="66" min="0" max="16383" man="1"/>
  </rowBreak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MK116"/>
  <sheetViews>
    <sheetView view="pageBreakPreview" topLeftCell="E79" zoomScale="60" zoomScaleNormal="60" workbookViewId="0">
      <selection activeCell="H116" sqref="H116:AD116"/>
    </sheetView>
  </sheetViews>
  <sheetFormatPr baseColWidth="10" defaultColWidth="10" defaultRowHeight="20.25" customHeight="1"/>
  <cols>
    <col collapsed="1" width="11.7265625" customWidth="1" style="416" min="1" max="1"/>
    <col collapsed="1" width="20.54296875" customWidth="1" style="416" min="2" max="2"/>
    <col collapsed="1" width="21.26953125" customWidth="1" style="416" min="3" max="3"/>
    <col collapsed="1" width="15.26953125" customWidth="1" style="416" min="4" max="4"/>
    <col collapsed="1" width="12.6328125" customWidth="1" style="416" min="5" max="5"/>
    <col collapsed="1" width="13.90625" customWidth="1" style="416" min="6" max="6"/>
    <col collapsed="1" width="14.26953125" customWidth="1" style="416" min="7" max="7"/>
    <col collapsed="1" width="14.7265625" customWidth="1" style="416" min="8" max="8"/>
    <col collapsed="1" width="16.453125" customWidth="1" style="416" min="9" max="9"/>
    <col collapsed="1" width="14.453125" customWidth="1" style="416" min="10" max="11"/>
    <col collapsed="1" width="20.1796875" customWidth="1" style="416" min="12" max="12"/>
    <col collapsed="1" width="18.81640625" customWidth="1" style="416" min="13" max="13"/>
    <col collapsed="1" width="11.81640625" customWidth="1" style="416" min="14" max="14"/>
    <col collapsed="1" width="19.6328125" customWidth="1" style="416" min="15" max="15"/>
    <col collapsed="1" width="16.08984375" customWidth="1" style="416" min="16" max="16"/>
    <col collapsed="1" width="16.6328125" customWidth="1" style="416" min="17" max="17"/>
    <col collapsed="1" width="11.6328125" customWidth="1" style="416" min="18" max="18"/>
    <col collapsed="1" width="13.08984375" customWidth="1" style="416" min="19" max="19"/>
    <col collapsed="1" width="13" customWidth="1" style="416" min="20" max="20"/>
    <col collapsed="1" width="14.81640625" customWidth="1" style="416" min="21" max="21"/>
    <col collapsed="1" width="20.36328125" customWidth="1" style="416" min="22" max="22"/>
    <col collapsed="1" width="18.90625" customWidth="1" style="416" min="23" max="23"/>
    <col collapsed="1" width="11.81640625" customWidth="1" style="416" min="24" max="24"/>
    <col collapsed="1" width="21.36328125" customWidth="1" style="416" min="25" max="25"/>
    <col collapsed="1" width="20.7265625" customWidth="1" style="416" min="26" max="26"/>
    <col collapsed="1" width="15.6328125" customWidth="1" style="416" min="27" max="27"/>
    <col collapsed="1" width="17.54296875" customWidth="1" style="416" min="28" max="28"/>
    <col collapsed="1" width="18.36328125" customWidth="1" style="416" min="29" max="29"/>
    <col collapsed="1" width="16.6328125" customWidth="1" style="416" min="30" max="30"/>
    <col collapsed="1" width="10" customWidth="1" style="416" min="31" max="16384"/>
  </cols>
  <sheetData>
    <row r="1" ht="15.75" customFormat="1" customHeight="1" s="409">
      <c r="A1" s="807" t="inlineStr">
        <is>
          <t>DETAIL DES RISQUES SUR LES CLIENTS INDIVIDUELS AU SEIN DES GROUPES DE CLIENTS LIES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886" t="n"/>
      <c r="O1" s="886" t="n"/>
      <c r="P1" s="886" t="n"/>
      <c r="Q1" s="886" t="n"/>
      <c r="R1" s="886" t="n"/>
      <c r="S1" s="886" t="n"/>
      <c r="T1" s="886" t="n"/>
      <c r="U1" s="886" t="n"/>
      <c r="V1" s="886" t="n"/>
      <c r="W1" s="886" t="n"/>
      <c r="X1" s="886" t="n"/>
      <c r="Y1" s="886" t="n"/>
      <c r="Z1" s="886" t="n"/>
      <c r="AA1" s="886" t="n"/>
      <c r="AB1" s="886" t="n"/>
      <c r="AC1" s="886" t="n"/>
      <c r="AD1" s="983" t="inlineStr">
        <is>
          <t>EP30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984" t="n"/>
      <c r="L2" s="984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  <c r="AMJ2" s="409" t="n"/>
      <c r="AMK2" s="409" t="n"/>
    </row>
    <row r="3" ht="20" customHeight="1" s="885">
      <c r="B3" s="417" t="n"/>
      <c r="E3" s="986" t="n"/>
      <c r="F3" s="986" t="n"/>
      <c r="G3" s="986" t="n"/>
      <c r="H3" s="986" t="n"/>
      <c r="I3" s="986" t="n"/>
      <c r="J3" s="986" t="n"/>
      <c r="K3" s="986" t="n"/>
      <c r="L3" s="986" t="n"/>
    </row>
    <row r="4" ht="9.75" customHeight="1" s="885">
      <c r="A4" s="417" t="n"/>
      <c r="C4" s="986" t="n"/>
      <c r="E4" s="986" t="n"/>
      <c r="F4" s="986" t="n"/>
      <c r="G4" s="986" t="n"/>
      <c r="H4" s="986" t="n"/>
      <c r="I4" s="986" t="n"/>
      <c r="J4" s="986" t="n"/>
      <c r="K4" s="986" t="n"/>
      <c r="L4" s="986" t="n"/>
    </row>
    <row r="5" ht="20" customHeight="1" s="885">
      <c r="A5" s="417" t="n"/>
      <c r="C5" s="986" t="n"/>
      <c r="E5" s="986" t="n"/>
      <c r="F5" s="986" t="n"/>
      <c r="G5" s="986" t="n"/>
      <c r="H5" s="986" t="n"/>
      <c r="I5" s="986" t="n"/>
      <c r="J5" s="986" t="n"/>
      <c r="K5" s="986" t="n"/>
      <c r="L5" s="986" t="n"/>
    </row>
    <row r="6" ht="20" customHeight="1" s="885">
      <c r="C6" s="986" t="n"/>
      <c r="E6" s="986" t="n"/>
      <c r="F6" s="986" t="n"/>
      <c r="G6" s="986" t="n"/>
      <c r="H6" s="986" t="n"/>
      <c r="I6" s="986" t="n"/>
      <c r="J6" s="986" t="n"/>
      <c r="K6" s="986" t="n"/>
      <c r="L6" s="986" t="n"/>
    </row>
    <row r="7" ht="20" customFormat="1" customHeight="1" s="409"/>
    <row r="8" ht="20" customFormat="1" customHeight="1" s="409"/>
    <row r="9" ht="44.25" customFormat="1" customHeight="1" s="597">
      <c r="A9" s="804" t="inlineStr">
        <is>
          <t>Code DISPRU</t>
        </is>
      </c>
      <c r="B9" s="851" t="inlineStr">
        <is>
          <t>CONTREPARTIE</t>
        </is>
      </c>
      <c r="C9" s="894" t="n"/>
      <c r="D9" s="894" t="n"/>
      <c r="E9" s="894" t="n"/>
      <c r="F9" s="894" t="n"/>
      <c r="G9" s="895" t="n"/>
      <c r="H9" s="850" t="inlineStr">
        <is>
          <t>EXPOSITONS INITIALES</t>
        </is>
      </c>
      <c r="I9" s="894" t="n"/>
      <c r="J9" s="894" t="n"/>
      <c r="K9" s="894" t="n"/>
      <c r="L9" s="894" t="n"/>
      <c r="M9" s="894" t="n"/>
      <c r="N9" s="894" t="n"/>
      <c r="O9" s="895" t="n"/>
      <c r="P9" s="850" t="inlineStr">
        <is>
          <t>(-) Provisions</t>
        </is>
      </c>
      <c r="Q9" s="850" t="inlineStr">
        <is>
          <t>(-) Expositions déduites des fonds propres</t>
        </is>
      </c>
      <c r="R9" s="850" t="inlineStr">
        <is>
          <t xml:space="preserve">Expositions nettes avant application des exemptions et de l'ARC </t>
        </is>
      </c>
      <c r="S9" s="929" t="n"/>
      <c r="T9" s="850" t="inlineStr">
        <is>
          <t>TECHNIQUES D'ATTÉNUATION DU RISQUE DE CRÉDIT (ARC) ÉLIGIBLES</t>
        </is>
      </c>
      <c r="U9" s="894" t="n"/>
      <c r="V9" s="894" t="n"/>
      <c r="W9" s="894" t="n"/>
      <c r="X9" s="894" t="n"/>
      <c r="Y9" s="894" t="n"/>
      <c r="Z9" s="895" t="n"/>
      <c r="AA9" s="850" t="inlineStr">
        <is>
          <t>(-) Montants exemptés</t>
        </is>
      </c>
      <c r="AB9" s="850" t="inlineStr">
        <is>
          <t xml:space="preserve">Expositions nettes après application des exemptions et de l'ARC </t>
        </is>
      </c>
      <c r="AC9" s="850" t="inlineStr">
        <is>
          <t>Actifs pondérés des risques</t>
        </is>
      </c>
      <c r="AD9" s="850" t="inlineStr">
        <is>
          <t>Rapport entre actifs pondérés des risques et des fonds propres de base T1 ( %)</t>
        </is>
      </c>
    </row>
    <row r="10" ht="12.75" customFormat="1" customHeight="1" s="597">
      <c r="A10" s="958" t="n"/>
      <c r="B10" s="851" t="inlineStr">
        <is>
          <t>No d'identification Centrale des risques (groupe)</t>
        </is>
      </c>
      <c r="C10" s="851" t="inlineStr">
        <is>
          <t>No d'identification Centrale des risques (contrepartie individuelle)</t>
        </is>
      </c>
      <c r="D10" s="851" t="inlineStr">
        <is>
          <t>Catégorie de lien</t>
        </is>
      </c>
      <c r="E10" s="851" t="inlineStr">
        <is>
          <t>Nom</t>
        </is>
      </c>
      <c r="F10" s="851" t="inlineStr">
        <is>
          <t>Pays de résidence</t>
        </is>
      </c>
      <c r="G10" s="851" t="inlineStr">
        <is>
          <t>Secteur d'activités</t>
        </is>
      </c>
      <c r="H10" s="598" t="n"/>
      <c r="I10" s="599" t="n"/>
      <c r="J10" s="599" t="n"/>
      <c r="K10" s="599" t="n"/>
      <c r="L10" s="599" t="n"/>
      <c r="M10" s="599" t="n"/>
      <c r="N10" s="599" t="n"/>
      <c r="O10" s="600" t="n"/>
      <c r="P10" s="958" t="n"/>
      <c r="Q10" s="958" t="n"/>
      <c r="R10" s="959" t="n"/>
      <c r="S10" s="957" t="n"/>
      <c r="T10" s="850" t="inlineStr">
        <is>
          <t xml:space="preserve">(-) Effet des techniques d'atténuation du risque de crédit (approche simple) </t>
        </is>
      </c>
      <c r="U10" s="928" t="n"/>
      <c r="V10" s="928" t="n"/>
      <c r="W10" s="928" t="n"/>
      <c r="X10" s="928" t="n"/>
      <c r="Y10" s="929" t="n"/>
      <c r="Z10" s="850" t="inlineStr">
        <is>
          <t>(-) Effet des techniques d'atténuation du risque de crédit (approche globale)</t>
        </is>
      </c>
      <c r="AA10" s="958" t="n"/>
      <c r="AB10" s="958" t="n"/>
      <c r="AC10" s="958" t="n"/>
      <c r="AD10" s="958" t="n"/>
    </row>
    <row r="11" ht="12.75" customFormat="1" customHeight="1" s="597">
      <c r="A11" s="958" t="n"/>
      <c r="B11" s="958" t="n"/>
      <c r="C11" s="958" t="n"/>
      <c r="D11" s="958" t="n"/>
      <c r="E11" s="958" t="n"/>
      <c r="F11" s="958" t="n"/>
      <c r="G11" s="958" t="n"/>
      <c r="H11" s="852" t="inlineStr">
        <is>
          <t>Exposition initiale totale</t>
        </is>
      </c>
      <c r="I11" s="600" t="n"/>
      <c r="J11" s="850" t="inlineStr">
        <is>
          <t xml:space="preserve">Expositions brutes </t>
        </is>
      </c>
      <c r="K11" s="928" t="n"/>
      <c r="L11" s="928" t="n"/>
      <c r="M11" s="928" t="n"/>
      <c r="N11" s="928" t="n"/>
      <c r="O11" s="929" t="n"/>
      <c r="P11" s="958" t="n"/>
      <c r="Q11" s="958" t="n"/>
      <c r="R11" s="959" t="n"/>
      <c r="S11" s="957" t="n"/>
      <c r="T11" s="959" t="n"/>
      <c r="U11" s="886" t="n"/>
      <c r="V11" s="886" t="n"/>
      <c r="W11" s="886" t="n"/>
      <c r="X11" s="886" t="n"/>
      <c r="Y11" s="957" t="n"/>
      <c r="Z11" s="958" t="n"/>
      <c r="AA11" s="958" t="n"/>
      <c r="AB11" s="958" t="n"/>
      <c r="AC11" s="958" t="n"/>
      <c r="AD11" s="958" t="n"/>
    </row>
    <row r="12" ht="46.5" customFormat="1" customHeight="1" s="597">
      <c r="A12" s="958" t="n"/>
      <c r="B12" s="958" t="n"/>
      <c r="C12" s="958" t="n"/>
      <c r="D12" s="958" t="n"/>
      <c r="E12" s="958" t="n"/>
      <c r="F12" s="958" t="n"/>
      <c r="G12" s="958" t="n"/>
      <c r="H12" s="959" t="n"/>
      <c r="I12" s="601" t="n"/>
      <c r="J12" s="962" t="n"/>
      <c r="K12" s="956" t="n"/>
      <c r="L12" s="956" t="n"/>
      <c r="M12" s="956" t="n"/>
      <c r="N12" s="956" t="n"/>
      <c r="O12" s="897" t="n"/>
      <c r="P12" s="958" t="n"/>
      <c r="Q12" s="958" t="n"/>
      <c r="R12" s="962" t="n"/>
      <c r="S12" s="897" t="n"/>
      <c r="T12" s="962" t="n"/>
      <c r="U12" s="956" t="n"/>
      <c r="V12" s="956" t="n"/>
      <c r="W12" s="956" t="n"/>
      <c r="X12" s="956" t="n"/>
      <c r="Y12" s="897" t="n"/>
      <c r="Z12" s="958" t="n"/>
      <c r="AA12" s="958" t="n"/>
      <c r="AB12" s="958" t="n"/>
      <c r="AC12" s="958" t="n"/>
      <c r="AD12" s="958" t="n"/>
    </row>
    <row r="13" ht="27.75" customFormat="1" customHeight="1" s="597">
      <c r="A13" s="958" t="n"/>
      <c r="B13" s="958" t="n"/>
      <c r="C13" s="958" t="n"/>
      <c r="D13" s="958" t="n"/>
      <c r="E13" s="958" t="n"/>
      <c r="F13" s="958" t="n"/>
      <c r="G13" s="958" t="n"/>
      <c r="H13" s="959" t="n"/>
      <c r="I13" s="853" t="inlineStr">
        <is>
          <t>Dont : en souffrance</t>
        </is>
      </c>
      <c r="J13" s="854" t="inlineStr">
        <is>
          <t>Bilan</t>
        </is>
      </c>
      <c r="K13" s="894" t="n"/>
      <c r="L13" s="894" t="n"/>
      <c r="M13" s="850" t="inlineStr">
        <is>
          <t>Hors bilan (après FCEC)</t>
        </is>
      </c>
      <c r="N13" s="894" t="n"/>
      <c r="O13" s="895" t="n"/>
      <c r="P13" s="958" t="n"/>
      <c r="Q13" s="958" t="n"/>
      <c r="R13" s="850" t="inlineStr">
        <is>
          <t xml:space="preserve">Total </t>
        </is>
      </c>
      <c r="S13" s="850" t="inlineStr">
        <is>
          <t>% des fonds propres de base T1</t>
        </is>
      </c>
      <c r="T13" s="850" t="inlineStr">
        <is>
          <t>Bilan</t>
        </is>
      </c>
      <c r="U13" s="894" t="n"/>
      <c r="V13" s="895" t="n"/>
      <c r="W13" s="850" t="inlineStr">
        <is>
          <t>Hors bilan</t>
        </is>
      </c>
      <c r="X13" s="894" t="n"/>
      <c r="Y13" s="895" t="n"/>
      <c r="Z13" s="958" t="n"/>
      <c r="AA13" s="958" t="n"/>
      <c r="AB13" s="958" t="n"/>
      <c r="AC13" s="958" t="n"/>
      <c r="AD13" s="958" t="n"/>
    </row>
    <row r="14" ht="120" customFormat="1" customHeight="1" s="412">
      <c r="A14" s="896" t="n"/>
      <c r="B14" s="896" t="n"/>
      <c r="C14" s="896" t="n"/>
      <c r="D14" s="896" t="n"/>
      <c r="E14" s="896" t="n"/>
      <c r="F14" s="896" t="n"/>
      <c r="G14" s="896" t="n"/>
      <c r="H14" s="962" t="n"/>
      <c r="I14" s="896" t="n"/>
      <c r="J14" s="602" t="inlineStr">
        <is>
          <t>Prêts, avances, crédits-bails</t>
        </is>
      </c>
      <c r="K14" s="602" t="inlineStr">
        <is>
          <t>Titres de créances</t>
        </is>
      </c>
      <c r="L14" s="602" t="inlineStr">
        <is>
          <t>Participations</t>
        </is>
      </c>
      <c r="M14" s="602" t="inlineStr">
        <is>
          <t>Engagements de financement</t>
        </is>
      </c>
      <c r="N14" s="602" t="inlineStr">
        <is>
          <t>Dérivés</t>
        </is>
      </c>
      <c r="O14" s="602" t="inlineStr">
        <is>
          <t>Autres engagements</t>
        </is>
      </c>
      <c r="P14" s="896" t="n"/>
      <c r="Q14" s="896" t="n"/>
      <c r="R14" s="896" t="n"/>
      <c r="S14" s="896" t="n"/>
      <c r="T14" s="850" t="inlineStr">
        <is>
          <t>Prêts, avances, crédits-bails</t>
        </is>
      </c>
      <c r="U14" s="850" t="inlineStr">
        <is>
          <t>Titres de créances</t>
        </is>
      </c>
      <c r="V14" s="850" t="inlineStr">
        <is>
          <t>Participations</t>
        </is>
      </c>
      <c r="W14" s="850" t="inlineStr">
        <is>
          <t>Engagements de financement</t>
        </is>
      </c>
      <c r="X14" s="850" t="inlineStr">
        <is>
          <t>Dérivés</t>
        </is>
      </c>
      <c r="Y14" s="850" t="inlineStr">
        <is>
          <t>Autres engagements</t>
        </is>
      </c>
      <c r="Z14" s="896" t="n"/>
      <c r="AA14" s="896" t="n"/>
      <c r="AB14" s="896" t="n"/>
      <c r="AC14" s="896" t="n"/>
      <c r="AD14" s="896" t="n"/>
    </row>
    <row r="15" ht="140" customFormat="1" customHeight="1" s="605">
      <c r="A15" s="855" t="n"/>
      <c r="B15" s="1010" t="n"/>
      <c r="C15" s="1010" t="n"/>
      <c r="D15" s="1010" t="n"/>
      <c r="E15" s="1010" t="n"/>
      <c r="F15" s="1010" t="n"/>
      <c r="G15" s="1011" t="n"/>
      <c r="H15" s="855" t="n"/>
      <c r="I15" s="855" t="n"/>
      <c r="J15" s="603" t="inlineStr">
        <is>
          <t>(a)</t>
        </is>
      </c>
      <c r="K15" s="603" t="inlineStr">
        <is>
          <t>(b)</t>
        </is>
      </c>
      <c r="L15" s="603" t="inlineStr">
        <is>
          <t>(c)</t>
        </is>
      </c>
      <c r="M15" s="603" t="inlineStr">
        <is>
          <t>(d)</t>
        </is>
      </c>
      <c r="N15" s="603" t="inlineStr">
        <is>
          <t>(e)</t>
        </is>
      </c>
      <c r="O15" s="603" t="inlineStr">
        <is>
          <t>(f)</t>
        </is>
      </c>
      <c r="P15" s="603" t="inlineStr">
        <is>
          <t>(g)</t>
        </is>
      </c>
      <c r="Q15" s="603" t="inlineStr">
        <is>
          <t>(h)</t>
        </is>
      </c>
      <c r="R15" s="604" t="inlineStr">
        <is>
          <t>(i)= a+b+c+d+e+f+g+h</t>
        </is>
      </c>
      <c r="S15" s="603" t="inlineStr">
        <is>
          <t>(j)=i/FPB</t>
        </is>
      </c>
      <c r="T15" s="603" t="inlineStr">
        <is>
          <t>(k)</t>
        </is>
      </c>
      <c r="U15" s="603" t="inlineStr">
        <is>
          <t>(l)</t>
        </is>
      </c>
      <c r="V15" s="603" t="inlineStr">
        <is>
          <t>(m)</t>
        </is>
      </c>
      <c r="W15" s="603" t="inlineStr">
        <is>
          <t>(n)</t>
        </is>
      </c>
      <c r="X15" s="603" t="inlineStr">
        <is>
          <t>(o)</t>
        </is>
      </c>
      <c r="Y15" s="603" t="inlineStr">
        <is>
          <t>(p)</t>
        </is>
      </c>
      <c r="Z15" s="603" t="inlineStr">
        <is>
          <t>(q)</t>
        </is>
      </c>
      <c r="AA15" s="603" t="inlineStr">
        <is>
          <t>(r)</t>
        </is>
      </c>
      <c r="AB15" s="604" t="inlineStr">
        <is>
          <t>(s)= i+k+l+m+n+o+p+q+r</t>
        </is>
      </c>
      <c r="AC15" s="604" t="inlineStr">
        <is>
          <t>(t)= somme (exposition nette individuelle x pondération applicable)</t>
        </is>
      </c>
      <c r="AD15" s="603" t="inlineStr">
        <is>
          <t>(u)= t/FPB</t>
        </is>
      </c>
    </row>
    <row r="16" ht="27.75" customFormat="1" customHeight="1" s="605">
      <c r="A16" s="613" t="inlineStr">
        <is>
          <t>GR072</t>
        </is>
      </c>
      <c r="B16" s="606" t="n"/>
      <c r="C16" s="606" t="n"/>
      <c r="D16" s="606" t="n"/>
      <c r="E16" s="606" t="n"/>
      <c r="F16" s="606" t="n"/>
      <c r="G16" s="606" t="n"/>
      <c r="H16" s="429" t="n"/>
      <c r="I16" s="429" t="n"/>
      <c r="J16" s="429" t="n"/>
      <c r="K16" s="429" t="n"/>
      <c r="L16" s="429" t="n"/>
      <c r="M16" s="429" t="n"/>
      <c r="N16" s="429" t="n"/>
      <c r="O16" s="429" t="n"/>
      <c r="P16" s="429" t="n"/>
      <c r="Q16" s="429" t="n"/>
      <c r="R16" s="429" t="n"/>
      <c r="S16" s="429" t="n"/>
      <c r="T16" s="429" t="n"/>
      <c r="U16" s="429" t="n"/>
      <c r="V16" s="429" t="n"/>
      <c r="W16" s="429" t="n"/>
      <c r="X16" s="429" t="n"/>
      <c r="Y16" s="429" t="n"/>
      <c r="Z16" s="429" t="n"/>
      <c r="AA16" s="429" t="n"/>
      <c r="AB16" s="429" t="n"/>
      <c r="AC16" s="429" t="n"/>
      <c r="AD16" s="429" t="n"/>
    </row>
    <row r="17" ht="27.75" customFormat="1" customHeight="1" s="605">
      <c r="A17" s="613" t="inlineStr">
        <is>
          <t>GR073</t>
        </is>
      </c>
      <c r="B17" s="606" t="n"/>
      <c r="C17" s="606" t="n"/>
      <c r="D17" s="606" t="n"/>
      <c r="E17" s="606" t="n"/>
      <c r="F17" s="606" t="n"/>
      <c r="G17" s="606" t="n"/>
      <c r="H17" s="429" t="n"/>
      <c r="I17" s="429" t="n"/>
      <c r="J17" s="429" t="n"/>
      <c r="K17" s="429" t="n"/>
      <c r="L17" s="429" t="n"/>
      <c r="M17" s="429" t="n"/>
      <c r="N17" s="429" t="n"/>
      <c r="O17" s="429" t="n"/>
      <c r="P17" s="429" t="n"/>
      <c r="Q17" s="429" t="n"/>
      <c r="R17" s="429" t="n"/>
      <c r="S17" s="429" t="n"/>
      <c r="T17" s="429" t="n"/>
      <c r="U17" s="429" t="n"/>
      <c r="V17" s="429" t="n"/>
      <c r="W17" s="429" t="n"/>
      <c r="X17" s="429" t="n"/>
      <c r="Y17" s="429" t="n"/>
      <c r="Z17" s="429" t="n"/>
      <c r="AA17" s="429" t="n"/>
      <c r="AB17" s="429" t="n"/>
      <c r="AC17" s="429" t="n"/>
      <c r="AD17" s="429" t="n"/>
    </row>
    <row r="18" ht="27.75" customFormat="1" customHeight="1" s="605">
      <c r="A18" s="613" t="inlineStr">
        <is>
          <t>GR074</t>
        </is>
      </c>
      <c r="B18" s="606" t="n"/>
      <c r="C18" s="606" t="n"/>
      <c r="D18" s="606" t="n"/>
      <c r="E18" s="606" t="n"/>
      <c r="F18" s="606" t="n"/>
      <c r="G18" s="606" t="n"/>
      <c r="H18" s="429" t="n"/>
      <c r="I18" s="429" t="n"/>
      <c r="J18" s="429" t="n"/>
      <c r="K18" s="429" t="n"/>
      <c r="L18" s="429" t="n"/>
      <c r="M18" s="429" t="n"/>
      <c r="N18" s="429" t="n"/>
      <c r="O18" s="429" t="n"/>
      <c r="P18" s="429" t="n"/>
      <c r="Q18" s="429" t="n"/>
      <c r="R18" s="429" t="n"/>
      <c r="S18" s="429" t="n"/>
      <c r="T18" s="429" t="n"/>
      <c r="U18" s="429" t="n"/>
      <c r="V18" s="429" t="n"/>
      <c r="W18" s="429" t="n"/>
      <c r="X18" s="429" t="n"/>
      <c r="Y18" s="429" t="n"/>
      <c r="Z18" s="429" t="n"/>
      <c r="AA18" s="429" t="n"/>
      <c r="AB18" s="429" t="n"/>
      <c r="AC18" s="429" t="n"/>
      <c r="AD18" s="429" t="n"/>
    </row>
    <row r="19" ht="27.75" customFormat="1" customHeight="1" s="605">
      <c r="A19" s="613" t="inlineStr">
        <is>
          <t>GR075</t>
        </is>
      </c>
      <c r="B19" s="606" t="n"/>
      <c r="C19" s="606" t="n"/>
      <c r="D19" s="606" t="n"/>
      <c r="E19" s="606" t="n"/>
      <c r="F19" s="606" t="n"/>
      <c r="G19" s="606" t="n"/>
      <c r="H19" s="429" t="n"/>
      <c r="I19" s="429" t="n"/>
      <c r="J19" s="429" t="n"/>
      <c r="K19" s="429" t="n"/>
      <c r="L19" s="429" t="n"/>
      <c r="M19" s="429" t="n"/>
      <c r="N19" s="429" t="n"/>
      <c r="O19" s="429" t="n"/>
      <c r="P19" s="429" t="n"/>
      <c r="Q19" s="429" t="n"/>
      <c r="R19" s="429" t="n"/>
      <c r="S19" s="429" t="n"/>
      <c r="T19" s="429" t="n"/>
      <c r="U19" s="429" t="n"/>
      <c r="V19" s="429" t="n"/>
      <c r="W19" s="429" t="n"/>
      <c r="X19" s="429" t="n"/>
      <c r="Y19" s="429" t="n"/>
      <c r="Z19" s="429" t="n"/>
      <c r="AA19" s="429" t="n"/>
      <c r="AB19" s="429" t="n"/>
      <c r="AC19" s="429" t="n"/>
      <c r="AD19" s="429" t="n"/>
    </row>
    <row r="20" ht="27.75" customFormat="1" customHeight="1" s="605">
      <c r="A20" s="613" t="inlineStr">
        <is>
          <t>GR076</t>
        </is>
      </c>
      <c r="B20" s="606" t="n"/>
      <c r="C20" s="606" t="n"/>
      <c r="D20" s="606" t="n"/>
      <c r="E20" s="606" t="n"/>
      <c r="F20" s="606" t="n"/>
      <c r="G20" s="606" t="n"/>
      <c r="H20" s="429" t="n"/>
      <c r="I20" s="429" t="n"/>
      <c r="J20" s="429" t="n"/>
      <c r="K20" s="429" t="n"/>
      <c r="L20" s="429" t="n"/>
      <c r="M20" s="429" t="n"/>
      <c r="N20" s="429" t="n"/>
      <c r="O20" s="429" t="n"/>
      <c r="P20" s="429" t="n"/>
      <c r="Q20" s="429" t="n"/>
      <c r="R20" s="429" t="n"/>
      <c r="S20" s="429" t="n"/>
      <c r="T20" s="429" t="n"/>
      <c r="U20" s="429" t="n"/>
      <c r="V20" s="429" t="n"/>
      <c r="W20" s="429" t="n"/>
      <c r="X20" s="429" t="n"/>
      <c r="Y20" s="429" t="n"/>
      <c r="Z20" s="429" t="n"/>
      <c r="AA20" s="429" t="n"/>
      <c r="AB20" s="429" t="n"/>
      <c r="AC20" s="429" t="n"/>
      <c r="AD20" s="429" t="n"/>
    </row>
    <row r="21" ht="27.75" customFormat="1" customHeight="1" s="605">
      <c r="A21" s="613" t="inlineStr">
        <is>
          <t>GR077</t>
        </is>
      </c>
      <c r="B21" s="606" t="n"/>
      <c r="C21" s="606" t="n"/>
      <c r="D21" s="606" t="n"/>
      <c r="E21" s="606" t="n"/>
      <c r="F21" s="606" t="n"/>
      <c r="G21" s="606" t="n"/>
      <c r="H21" s="429" t="n"/>
      <c r="I21" s="429" t="n"/>
      <c r="J21" s="429" t="n"/>
      <c r="K21" s="429" t="n"/>
      <c r="L21" s="429" t="n"/>
      <c r="M21" s="429" t="n"/>
      <c r="N21" s="429" t="n"/>
      <c r="O21" s="429" t="n"/>
      <c r="P21" s="429" t="n"/>
      <c r="Q21" s="429" t="n"/>
      <c r="R21" s="429" t="n"/>
      <c r="S21" s="429" t="n"/>
      <c r="T21" s="429" t="n"/>
      <c r="U21" s="429" t="n"/>
      <c r="V21" s="429" t="n"/>
      <c r="W21" s="429" t="n"/>
      <c r="X21" s="429" t="n"/>
      <c r="Y21" s="429" t="n"/>
      <c r="Z21" s="429" t="n"/>
      <c r="AA21" s="429" t="n"/>
      <c r="AB21" s="429" t="n"/>
      <c r="AC21" s="429" t="n"/>
      <c r="AD21" s="429" t="n"/>
    </row>
    <row r="22" ht="27.75" customFormat="1" customHeight="1" s="605">
      <c r="A22" s="613" t="inlineStr">
        <is>
          <t>GR078</t>
        </is>
      </c>
      <c r="B22" s="606" t="n"/>
      <c r="C22" s="606" t="n"/>
      <c r="D22" s="606" t="n"/>
      <c r="E22" s="606" t="n"/>
      <c r="F22" s="606" t="n"/>
      <c r="G22" s="606" t="n"/>
      <c r="H22" s="429" t="n"/>
      <c r="I22" s="429" t="n"/>
      <c r="J22" s="429" t="n"/>
      <c r="K22" s="429" t="n"/>
      <c r="L22" s="429" t="n"/>
      <c r="M22" s="429" t="n"/>
      <c r="N22" s="429" t="n"/>
      <c r="O22" s="429" t="n"/>
      <c r="P22" s="429" t="n"/>
      <c r="Q22" s="429" t="n"/>
      <c r="R22" s="429" t="n"/>
      <c r="S22" s="429" t="n"/>
      <c r="T22" s="429" t="n"/>
      <c r="U22" s="429" t="n"/>
      <c r="V22" s="429" t="n"/>
      <c r="W22" s="429" t="n"/>
      <c r="X22" s="429" t="n"/>
      <c r="Y22" s="429" t="n"/>
      <c r="Z22" s="429" t="n"/>
      <c r="AA22" s="429" t="n"/>
      <c r="AB22" s="429" t="n"/>
      <c r="AC22" s="429" t="n"/>
      <c r="AD22" s="429" t="n"/>
    </row>
    <row r="23" ht="27.75" customFormat="1" customHeight="1" s="605">
      <c r="A23" s="613" t="inlineStr">
        <is>
          <t>GR079</t>
        </is>
      </c>
      <c r="B23" s="606" t="n"/>
      <c r="C23" s="606" t="n"/>
      <c r="D23" s="606" t="n"/>
      <c r="E23" s="606" t="n"/>
      <c r="F23" s="606" t="n"/>
      <c r="G23" s="606" t="n"/>
      <c r="H23" s="429" t="n"/>
      <c r="I23" s="429" t="n"/>
      <c r="J23" s="429" t="n"/>
      <c r="K23" s="429" t="n"/>
      <c r="L23" s="429" t="n"/>
      <c r="M23" s="429" t="n"/>
      <c r="N23" s="429" t="n"/>
      <c r="O23" s="429" t="n"/>
      <c r="P23" s="429" t="n"/>
      <c r="Q23" s="429" t="n"/>
      <c r="R23" s="429" t="n"/>
      <c r="S23" s="429" t="n"/>
      <c r="T23" s="429" t="n"/>
      <c r="U23" s="429" t="n"/>
      <c r="V23" s="429" t="n"/>
      <c r="W23" s="429" t="n"/>
      <c r="X23" s="429" t="n"/>
      <c r="Y23" s="429" t="n"/>
      <c r="Z23" s="429" t="n"/>
      <c r="AA23" s="429" t="n"/>
      <c r="AB23" s="429" t="n"/>
      <c r="AC23" s="429" t="n"/>
      <c r="AD23" s="429" t="n"/>
    </row>
    <row r="24" ht="27.75" customFormat="1" customHeight="1" s="605">
      <c r="A24" s="613" t="inlineStr">
        <is>
          <t>GR080</t>
        </is>
      </c>
      <c r="B24" s="606" t="n"/>
      <c r="C24" s="606" t="n"/>
      <c r="D24" s="606" t="n"/>
      <c r="E24" s="606" t="n"/>
      <c r="F24" s="606" t="n"/>
      <c r="G24" s="606" t="n"/>
      <c r="H24" s="429" t="n"/>
      <c r="I24" s="429" t="n"/>
      <c r="J24" s="429" t="n"/>
      <c r="K24" s="429" t="n"/>
      <c r="L24" s="429" t="n"/>
      <c r="M24" s="429" t="n"/>
      <c r="N24" s="429" t="n"/>
      <c r="O24" s="429" t="n"/>
      <c r="P24" s="429" t="n"/>
      <c r="Q24" s="429" t="n"/>
      <c r="R24" s="429" t="n"/>
      <c r="S24" s="429" t="n"/>
      <c r="T24" s="429" t="n"/>
      <c r="U24" s="429" t="n"/>
      <c r="V24" s="429" t="n"/>
      <c r="W24" s="429" t="n"/>
      <c r="X24" s="429" t="n"/>
      <c r="Y24" s="429" t="n"/>
      <c r="Z24" s="429" t="n"/>
      <c r="AA24" s="429" t="n"/>
      <c r="AB24" s="429" t="n"/>
      <c r="AC24" s="429" t="n"/>
      <c r="AD24" s="429" t="n"/>
    </row>
    <row r="25" ht="27.75" customFormat="1" customHeight="1" s="605">
      <c r="A25" s="613" t="inlineStr">
        <is>
          <t>GR081</t>
        </is>
      </c>
      <c r="B25" s="606" t="n"/>
      <c r="C25" s="606" t="n"/>
      <c r="D25" s="606" t="n"/>
      <c r="E25" s="606" t="n"/>
      <c r="F25" s="606" t="n"/>
      <c r="G25" s="606" t="n"/>
      <c r="H25" s="429" t="n"/>
      <c r="I25" s="429" t="n"/>
      <c r="J25" s="429" t="n"/>
      <c r="K25" s="429" t="n"/>
      <c r="L25" s="429" t="n"/>
      <c r="M25" s="429" t="n"/>
      <c r="N25" s="429" t="n"/>
      <c r="O25" s="429" t="n"/>
      <c r="P25" s="429" t="n"/>
      <c r="Q25" s="429" t="n"/>
      <c r="R25" s="429" t="n"/>
      <c r="S25" s="429" t="n"/>
      <c r="T25" s="429" t="n"/>
      <c r="U25" s="429" t="n"/>
      <c r="V25" s="429" t="n"/>
      <c r="W25" s="429" t="n"/>
      <c r="X25" s="429" t="n"/>
      <c r="Y25" s="429" t="n"/>
      <c r="Z25" s="429" t="n"/>
      <c r="AA25" s="429" t="n"/>
      <c r="AB25" s="429" t="n"/>
      <c r="AC25" s="429" t="n"/>
      <c r="AD25" s="429" t="n"/>
    </row>
    <row r="26" ht="27.75" customFormat="1" customHeight="1" s="605">
      <c r="A26" s="613" t="inlineStr">
        <is>
          <t>GR082</t>
        </is>
      </c>
      <c r="B26" s="606" t="n"/>
      <c r="C26" s="606" t="n"/>
      <c r="D26" s="606" t="n"/>
      <c r="E26" s="606" t="n"/>
      <c r="F26" s="606" t="n"/>
      <c r="G26" s="606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</row>
    <row r="27" ht="27.75" customFormat="1" customHeight="1" s="605">
      <c r="A27" s="613" t="inlineStr">
        <is>
          <t>GR083</t>
        </is>
      </c>
      <c r="B27" s="606" t="n"/>
      <c r="C27" s="606" t="n"/>
      <c r="D27" s="606" t="n"/>
      <c r="E27" s="606" t="n"/>
      <c r="F27" s="606" t="n"/>
      <c r="G27" s="606" t="n"/>
      <c r="H27" s="429" t="n"/>
      <c r="I27" s="429" t="n"/>
      <c r="J27" s="429" t="n"/>
      <c r="K27" s="429" t="n"/>
      <c r="L27" s="429" t="n"/>
      <c r="M27" s="429" t="n"/>
      <c r="N27" s="429" t="n"/>
      <c r="O27" s="429" t="n"/>
      <c r="P27" s="429" t="n"/>
      <c r="Q27" s="429" t="n"/>
      <c r="R27" s="429" t="n"/>
      <c r="S27" s="429" t="n"/>
      <c r="T27" s="429" t="n"/>
      <c r="U27" s="429" t="n"/>
      <c r="V27" s="429" t="n"/>
      <c r="W27" s="429" t="n"/>
      <c r="X27" s="429" t="n"/>
      <c r="Y27" s="429" t="n"/>
      <c r="Z27" s="429" t="n"/>
      <c r="AA27" s="429" t="n"/>
      <c r="AB27" s="429" t="n"/>
      <c r="AC27" s="429" t="n"/>
      <c r="AD27" s="429" t="n"/>
    </row>
    <row r="28" ht="27.75" customFormat="1" customHeight="1" s="605">
      <c r="A28" s="613" t="inlineStr">
        <is>
          <t>GR084</t>
        </is>
      </c>
      <c r="B28" s="606" t="n"/>
      <c r="C28" s="606" t="n"/>
      <c r="D28" s="606" t="n"/>
      <c r="E28" s="606" t="n"/>
      <c r="F28" s="606" t="n"/>
      <c r="G28" s="606" t="n"/>
      <c r="H28" s="429" t="n"/>
      <c r="I28" s="429" t="n"/>
      <c r="J28" s="429" t="n"/>
      <c r="K28" s="429" t="n"/>
      <c r="L28" s="429" t="n"/>
      <c r="M28" s="429" t="n"/>
      <c r="N28" s="429" t="n"/>
      <c r="O28" s="429" t="n"/>
      <c r="P28" s="429" t="n"/>
      <c r="Q28" s="429" t="n"/>
      <c r="R28" s="429" t="n"/>
      <c r="S28" s="429" t="n"/>
      <c r="T28" s="429" t="n"/>
      <c r="U28" s="429" t="n"/>
      <c r="V28" s="429" t="n"/>
      <c r="W28" s="429" t="n"/>
      <c r="X28" s="429" t="n"/>
      <c r="Y28" s="429" t="n"/>
      <c r="Z28" s="429" t="n"/>
      <c r="AA28" s="429" t="n"/>
      <c r="AB28" s="429" t="n"/>
      <c r="AC28" s="429" t="n"/>
      <c r="AD28" s="429" t="n"/>
    </row>
    <row r="29" ht="27.75" customFormat="1" customHeight="1" s="605">
      <c r="A29" s="613" t="inlineStr">
        <is>
          <t>GR085</t>
        </is>
      </c>
      <c r="B29" s="606" t="n"/>
      <c r="C29" s="606" t="n"/>
      <c r="D29" s="606" t="n"/>
      <c r="E29" s="606" t="n"/>
      <c r="F29" s="606" t="n"/>
      <c r="G29" s="606" t="n"/>
      <c r="H29" s="429" t="n"/>
      <c r="I29" s="429" t="n"/>
      <c r="J29" s="429" t="n"/>
      <c r="K29" s="429" t="n"/>
      <c r="L29" s="429" t="n"/>
      <c r="M29" s="429" t="n"/>
      <c r="N29" s="429" t="n"/>
      <c r="O29" s="429" t="n"/>
      <c r="P29" s="429" t="n"/>
      <c r="Q29" s="429" t="n"/>
      <c r="R29" s="429" t="n"/>
      <c r="S29" s="429" t="n"/>
      <c r="T29" s="429" t="n"/>
      <c r="U29" s="429" t="n"/>
      <c r="V29" s="429" t="n"/>
      <c r="W29" s="429" t="n"/>
      <c r="X29" s="429" t="n"/>
      <c r="Y29" s="429" t="n"/>
      <c r="Z29" s="429" t="n"/>
      <c r="AA29" s="429" t="n"/>
      <c r="AB29" s="429" t="n"/>
      <c r="AC29" s="429" t="n"/>
      <c r="AD29" s="429" t="n"/>
    </row>
    <row r="30" ht="27.75" customFormat="1" customHeight="1" s="605">
      <c r="A30" s="613" t="inlineStr">
        <is>
          <t>GR086</t>
        </is>
      </c>
      <c r="B30" s="606" t="n"/>
      <c r="C30" s="606" t="n"/>
      <c r="D30" s="606" t="n"/>
      <c r="E30" s="606" t="n"/>
      <c r="F30" s="606" t="n"/>
      <c r="G30" s="606" t="n"/>
      <c r="H30" s="429" t="n"/>
      <c r="I30" s="429" t="n"/>
      <c r="J30" s="429" t="n"/>
      <c r="K30" s="429" t="n"/>
      <c r="L30" s="429" t="n"/>
      <c r="M30" s="429" t="n"/>
      <c r="N30" s="429" t="n"/>
      <c r="O30" s="429" t="n"/>
      <c r="P30" s="429" t="n"/>
      <c r="Q30" s="429" t="n"/>
      <c r="R30" s="429" t="n"/>
      <c r="S30" s="429" t="n"/>
      <c r="T30" s="429" t="n"/>
      <c r="U30" s="429" t="n"/>
      <c r="V30" s="429" t="n"/>
      <c r="W30" s="429" t="n"/>
      <c r="X30" s="429" t="n"/>
      <c r="Y30" s="429" t="n"/>
      <c r="Z30" s="429" t="n"/>
      <c r="AA30" s="429" t="n"/>
      <c r="AB30" s="429" t="n"/>
      <c r="AC30" s="429" t="n"/>
      <c r="AD30" s="429" t="n"/>
    </row>
    <row r="31" ht="27.75" customFormat="1" customHeight="1" s="605">
      <c r="A31" s="613" t="inlineStr">
        <is>
          <t>GR087</t>
        </is>
      </c>
      <c r="B31" s="606" t="n"/>
      <c r="C31" s="606" t="n"/>
      <c r="D31" s="606" t="n"/>
      <c r="E31" s="606" t="n"/>
      <c r="F31" s="606" t="n"/>
      <c r="G31" s="606" t="n"/>
      <c r="H31" s="429" t="n"/>
      <c r="I31" s="429" t="n"/>
      <c r="J31" s="429" t="n"/>
      <c r="K31" s="429" t="n"/>
      <c r="L31" s="429" t="n"/>
      <c r="M31" s="429" t="n"/>
      <c r="N31" s="429" t="n"/>
      <c r="O31" s="429" t="n"/>
      <c r="P31" s="429" t="n"/>
      <c r="Q31" s="429" t="n"/>
      <c r="R31" s="429" t="n"/>
      <c r="S31" s="429" t="n"/>
      <c r="T31" s="429" t="n"/>
      <c r="U31" s="429" t="n"/>
      <c r="V31" s="429" t="n"/>
      <c r="W31" s="429" t="n"/>
      <c r="X31" s="429" t="n"/>
      <c r="Y31" s="429" t="n"/>
      <c r="Z31" s="429" t="n"/>
      <c r="AA31" s="429" t="n"/>
      <c r="AB31" s="429" t="n"/>
      <c r="AC31" s="429" t="n"/>
      <c r="AD31" s="429" t="n"/>
    </row>
    <row r="32" ht="27.75" customFormat="1" customHeight="1" s="605">
      <c r="A32" s="613" t="inlineStr">
        <is>
          <t>GR088</t>
        </is>
      </c>
      <c r="B32" s="606" t="n"/>
      <c r="C32" s="606" t="n"/>
      <c r="D32" s="606" t="n"/>
      <c r="E32" s="606" t="n"/>
      <c r="F32" s="606" t="n"/>
      <c r="G32" s="606" t="n"/>
      <c r="H32" s="429" t="n"/>
      <c r="I32" s="429" t="n"/>
      <c r="J32" s="429" t="n"/>
      <c r="K32" s="429" t="n"/>
      <c r="L32" s="429" t="n"/>
      <c r="M32" s="429" t="n"/>
      <c r="N32" s="429" t="n"/>
      <c r="O32" s="429" t="n"/>
      <c r="P32" s="429" t="n"/>
      <c r="Q32" s="429" t="n"/>
      <c r="R32" s="429" t="n"/>
      <c r="S32" s="429" t="n"/>
      <c r="T32" s="429" t="n"/>
      <c r="U32" s="429" t="n"/>
      <c r="V32" s="429" t="n"/>
      <c r="W32" s="429" t="n"/>
      <c r="X32" s="429" t="n"/>
      <c r="Y32" s="429" t="n"/>
      <c r="Z32" s="429" t="n"/>
      <c r="AA32" s="429" t="n"/>
      <c r="AB32" s="429" t="n"/>
      <c r="AC32" s="429" t="n"/>
      <c r="AD32" s="429" t="n"/>
    </row>
    <row r="33" ht="27.75" customFormat="1" customHeight="1" s="605">
      <c r="A33" s="613" t="inlineStr">
        <is>
          <t>GR089</t>
        </is>
      </c>
      <c r="B33" s="606" t="n"/>
      <c r="C33" s="606" t="n"/>
      <c r="D33" s="606" t="n"/>
      <c r="E33" s="606" t="n"/>
      <c r="F33" s="606" t="n"/>
      <c r="G33" s="606" t="n"/>
      <c r="H33" s="429" t="n"/>
      <c r="I33" s="429" t="n"/>
      <c r="J33" s="429" t="n"/>
      <c r="K33" s="429" t="n"/>
      <c r="L33" s="429" t="n"/>
      <c r="M33" s="429" t="n"/>
      <c r="N33" s="429" t="n"/>
      <c r="O33" s="429" t="n"/>
      <c r="P33" s="429" t="n"/>
      <c r="Q33" s="429" t="n"/>
      <c r="R33" s="429" t="n"/>
      <c r="S33" s="429" t="n"/>
      <c r="T33" s="429" t="n"/>
      <c r="U33" s="429" t="n"/>
      <c r="V33" s="429" t="n"/>
      <c r="W33" s="429" t="n"/>
      <c r="X33" s="429" t="n"/>
      <c r="Y33" s="429" t="n"/>
      <c r="Z33" s="429" t="n"/>
      <c r="AA33" s="429" t="n"/>
      <c r="AB33" s="429" t="n"/>
      <c r="AC33" s="429" t="n"/>
      <c r="AD33" s="429" t="n"/>
    </row>
    <row r="34" ht="27.75" customFormat="1" customHeight="1" s="605">
      <c r="A34" s="613" t="inlineStr">
        <is>
          <t>GR090</t>
        </is>
      </c>
      <c r="B34" s="606" t="n"/>
      <c r="C34" s="606" t="n"/>
      <c r="D34" s="606" t="n"/>
      <c r="E34" s="606" t="n"/>
      <c r="F34" s="606" t="n"/>
      <c r="G34" s="606" t="n"/>
      <c r="H34" s="429" t="n"/>
      <c r="I34" s="429" t="n"/>
      <c r="J34" s="429" t="n"/>
      <c r="K34" s="429" t="n"/>
      <c r="L34" s="429" t="n"/>
      <c r="M34" s="429" t="n"/>
      <c r="N34" s="429" t="n"/>
      <c r="O34" s="429" t="n"/>
      <c r="P34" s="429" t="n"/>
      <c r="Q34" s="429" t="n"/>
      <c r="R34" s="429" t="n"/>
      <c r="S34" s="429" t="n"/>
      <c r="T34" s="429" t="n"/>
      <c r="U34" s="429" t="n"/>
      <c r="V34" s="429" t="n"/>
      <c r="W34" s="429" t="n"/>
      <c r="X34" s="429" t="n"/>
      <c r="Y34" s="429" t="n"/>
      <c r="Z34" s="429" t="n"/>
      <c r="AA34" s="429" t="n"/>
      <c r="AB34" s="429" t="n"/>
      <c r="AC34" s="429" t="n"/>
      <c r="AD34" s="429" t="n"/>
    </row>
    <row r="35" ht="27.75" customFormat="1" customHeight="1" s="605">
      <c r="A35" s="613" t="inlineStr">
        <is>
          <t>GR091</t>
        </is>
      </c>
      <c r="B35" s="606" t="n"/>
      <c r="C35" s="606" t="n"/>
      <c r="D35" s="606" t="n"/>
      <c r="E35" s="606" t="n"/>
      <c r="F35" s="606" t="n"/>
      <c r="G35" s="606" t="n"/>
      <c r="H35" s="429" t="n"/>
      <c r="I35" s="429" t="n"/>
      <c r="J35" s="429" t="n"/>
      <c r="K35" s="429" t="n"/>
      <c r="L35" s="429" t="n"/>
      <c r="M35" s="429" t="n"/>
      <c r="N35" s="429" t="n"/>
      <c r="O35" s="429" t="n"/>
      <c r="P35" s="429" t="n"/>
      <c r="Q35" s="429" t="n"/>
      <c r="R35" s="429" t="n"/>
      <c r="S35" s="429" t="n"/>
      <c r="T35" s="429" t="n"/>
      <c r="U35" s="429" t="n"/>
      <c r="V35" s="429" t="n"/>
      <c r="W35" s="429" t="n"/>
      <c r="X35" s="429" t="n"/>
      <c r="Y35" s="429" t="n"/>
      <c r="Z35" s="429" t="n"/>
      <c r="AA35" s="429" t="n"/>
      <c r="AB35" s="429" t="n"/>
      <c r="AC35" s="429" t="n"/>
      <c r="AD35" s="429" t="n"/>
    </row>
    <row r="36" ht="27.75" customFormat="1" customHeight="1" s="605">
      <c r="A36" s="613" t="inlineStr">
        <is>
          <t>GR092</t>
        </is>
      </c>
      <c r="B36" s="606" t="n"/>
      <c r="C36" s="606" t="n"/>
      <c r="D36" s="606" t="n"/>
      <c r="E36" s="606" t="n"/>
      <c r="F36" s="606" t="n"/>
      <c r="G36" s="606" t="n"/>
      <c r="H36" s="429" t="n"/>
      <c r="I36" s="429" t="n"/>
      <c r="J36" s="429" t="n"/>
      <c r="K36" s="429" t="n"/>
      <c r="L36" s="429" t="n"/>
      <c r="M36" s="429" t="n"/>
      <c r="N36" s="429" t="n"/>
      <c r="O36" s="429" t="n"/>
      <c r="P36" s="429" t="n"/>
      <c r="Q36" s="429" t="n"/>
      <c r="R36" s="429" t="n"/>
      <c r="S36" s="429" t="n"/>
      <c r="T36" s="429" t="n"/>
      <c r="U36" s="429" t="n"/>
      <c r="V36" s="429" t="n"/>
      <c r="W36" s="429" t="n"/>
      <c r="X36" s="429" t="n"/>
      <c r="Y36" s="429" t="n"/>
      <c r="Z36" s="429" t="n"/>
      <c r="AA36" s="429" t="n"/>
      <c r="AB36" s="429" t="n"/>
      <c r="AC36" s="429" t="n"/>
      <c r="AD36" s="429" t="n"/>
    </row>
    <row r="37" ht="27.75" customFormat="1" customHeight="1" s="605">
      <c r="A37" s="613" t="inlineStr">
        <is>
          <t>GR093</t>
        </is>
      </c>
      <c r="B37" s="606" t="n"/>
      <c r="C37" s="606" t="n"/>
      <c r="D37" s="606" t="n"/>
      <c r="E37" s="606" t="n"/>
      <c r="F37" s="606" t="n"/>
      <c r="G37" s="606" t="n"/>
      <c r="H37" s="429" t="n"/>
      <c r="I37" s="429" t="n"/>
      <c r="J37" s="429" t="n"/>
      <c r="K37" s="429" t="n"/>
      <c r="L37" s="429" t="n"/>
      <c r="M37" s="429" t="n"/>
      <c r="N37" s="429" t="n"/>
      <c r="O37" s="429" t="n"/>
      <c r="P37" s="429" t="n"/>
      <c r="Q37" s="429" t="n"/>
      <c r="R37" s="429" t="n"/>
      <c r="S37" s="429" t="n"/>
      <c r="T37" s="429" t="n"/>
      <c r="U37" s="429" t="n"/>
      <c r="V37" s="429" t="n"/>
      <c r="W37" s="429" t="n"/>
      <c r="X37" s="429" t="n"/>
      <c r="Y37" s="429" t="n"/>
      <c r="Z37" s="429" t="n"/>
      <c r="AA37" s="429" t="n"/>
      <c r="AB37" s="429" t="n"/>
      <c r="AC37" s="429" t="n"/>
      <c r="AD37" s="429" t="n"/>
    </row>
    <row r="38" ht="27.75" customFormat="1" customHeight="1" s="605">
      <c r="A38" s="613" t="inlineStr">
        <is>
          <t>GR094</t>
        </is>
      </c>
      <c r="B38" s="606" t="n"/>
      <c r="C38" s="606" t="n"/>
      <c r="D38" s="606" t="n"/>
      <c r="E38" s="606" t="n"/>
      <c r="F38" s="606" t="n"/>
      <c r="G38" s="606" t="n"/>
      <c r="H38" s="429" t="n"/>
      <c r="I38" s="429" t="n"/>
      <c r="J38" s="429" t="n"/>
      <c r="K38" s="429" t="n"/>
      <c r="L38" s="429" t="n"/>
      <c r="M38" s="429" t="n"/>
      <c r="N38" s="429" t="n"/>
      <c r="O38" s="429" t="n"/>
      <c r="P38" s="429" t="n"/>
      <c r="Q38" s="429" t="n"/>
      <c r="R38" s="429" t="n"/>
      <c r="S38" s="429" t="n"/>
      <c r="T38" s="429" t="n"/>
      <c r="U38" s="429" t="n"/>
      <c r="V38" s="429" t="n"/>
      <c r="W38" s="429" t="n"/>
      <c r="X38" s="429" t="n"/>
      <c r="Y38" s="429" t="n"/>
      <c r="Z38" s="429" t="n"/>
      <c r="AA38" s="429" t="n"/>
      <c r="AB38" s="429" t="n"/>
      <c r="AC38" s="429" t="n"/>
      <c r="AD38" s="429" t="n"/>
    </row>
    <row r="39" ht="27.75" customFormat="1" customHeight="1" s="605">
      <c r="A39" s="613" t="inlineStr">
        <is>
          <t>GR095</t>
        </is>
      </c>
      <c r="B39" s="606" t="n"/>
      <c r="C39" s="606" t="n"/>
      <c r="D39" s="606" t="n"/>
      <c r="E39" s="606" t="n"/>
      <c r="F39" s="606" t="n"/>
      <c r="G39" s="606" t="n"/>
      <c r="H39" s="429" t="n"/>
      <c r="I39" s="429" t="n"/>
      <c r="J39" s="429" t="n"/>
      <c r="K39" s="429" t="n"/>
      <c r="L39" s="429" t="n"/>
      <c r="M39" s="429" t="n"/>
      <c r="N39" s="429" t="n"/>
      <c r="O39" s="429" t="n"/>
      <c r="P39" s="429" t="n"/>
      <c r="Q39" s="429" t="n"/>
      <c r="R39" s="429" t="n"/>
      <c r="S39" s="429" t="n"/>
      <c r="T39" s="429" t="n"/>
      <c r="U39" s="429" t="n"/>
      <c r="V39" s="429" t="n"/>
      <c r="W39" s="429" t="n"/>
      <c r="X39" s="429" t="n"/>
      <c r="Y39" s="429" t="n"/>
      <c r="Z39" s="429" t="n"/>
      <c r="AA39" s="429" t="n"/>
      <c r="AB39" s="429" t="n"/>
      <c r="AC39" s="429" t="n"/>
      <c r="AD39" s="429" t="n"/>
    </row>
    <row r="40" ht="27.75" customFormat="1" customHeight="1" s="605">
      <c r="A40" s="613" t="inlineStr">
        <is>
          <t>GR096</t>
        </is>
      </c>
      <c r="B40" s="606" t="n"/>
      <c r="C40" s="606" t="n"/>
      <c r="D40" s="606" t="n"/>
      <c r="E40" s="606" t="n"/>
      <c r="F40" s="606" t="n"/>
      <c r="G40" s="606" t="n"/>
      <c r="H40" s="429" t="n"/>
      <c r="I40" s="429" t="n"/>
      <c r="J40" s="429" t="n"/>
      <c r="K40" s="429" t="n"/>
      <c r="L40" s="429" t="n"/>
      <c r="M40" s="429" t="n"/>
      <c r="N40" s="429" t="n"/>
      <c r="O40" s="429" t="n"/>
      <c r="P40" s="429" t="n"/>
      <c r="Q40" s="429" t="n"/>
      <c r="R40" s="429" t="n"/>
      <c r="S40" s="429" t="n"/>
      <c r="T40" s="429" t="n"/>
      <c r="U40" s="429" t="n"/>
      <c r="V40" s="429" t="n"/>
      <c r="W40" s="429" t="n"/>
      <c r="X40" s="429" t="n"/>
      <c r="Y40" s="429" t="n"/>
      <c r="Z40" s="429" t="n"/>
      <c r="AA40" s="429" t="n"/>
      <c r="AB40" s="429" t="n"/>
      <c r="AC40" s="429" t="n"/>
      <c r="AD40" s="429" t="n"/>
    </row>
    <row r="41" ht="27.75" customFormat="1" customHeight="1" s="605">
      <c r="A41" s="613" t="inlineStr">
        <is>
          <t>GR097</t>
        </is>
      </c>
      <c r="B41" s="606" t="n"/>
      <c r="C41" s="606" t="n"/>
      <c r="D41" s="606" t="n"/>
      <c r="E41" s="606" t="n"/>
      <c r="F41" s="606" t="n"/>
      <c r="G41" s="606" t="n"/>
      <c r="H41" s="429" t="n"/>
      <c r="I41" s="429" t="n"/>
      <c r="J41" s="429" t="n"/>
      <c r="K41" s="429" t="n"/>
      <c r="L41" s="429" t="n"/>
      <c r="M41" s="429" t="n"/>
      <c r="N41" s="429" t="n"/>
      <c r="O41" s="429" t="n"/>
      <c r="P41" s="429" t="n"/>
      <c r="Q41" s="429" t="n"/>
      <c r="R41" s="429" t="n"/>
      <c r="S41" s="429" t="n"/>
      <c r="T41" s="429" t="n"/>
      <c r="U41" s="429" t="n"/>
      <c r="V41" s="429" t="n"/>
      <c r="W41" s="429" t="n"/>
      <c r="X41" s="429" t="n"/>
      <c r="Y41" s="429" t="n"/>
      <c r="Z41" s="429" t="n"/>
      <c r="AA41" s="429" t="n"/>
      <c r="AB41" s="429" t="n"/>
      <c r="AC41" s="429" t="n"/>
      <c r="AD41" s="429" t="n"/>
    </row>
    <row r="42" ht="27.75" customFormat="1" customHeight="1" s="605">
      <c r="A42" s="613" t="inlineStr">
        <is>
          <t>GR098</t>
        </is>
      </c>
      <c r="B42" s="606" t="n"/>
      <c r="C42" s="606" t="n"/>
      <c r="D42" s="606" t="n"/>
      <c r="E42" s="606" t="n"/>
      <c r="F42" s="606" t="n"/>
      <c r="G42" s="606" t="n"/>
      <c r="H42" s="429" t="n"/>
      <c r="I42" s="429" t="n"/>
      <c r="J42" s="429" t="n"/>
      <c r="K42" s="429" t="n"/>
      <c r="L42" s="429" t="n"/>
      <c r="M42" s="429" t="n"/>
      <c r="N42" s="429" t="n"/>
      <c r="O42" s="429" t="n"/>
      <c r="P42" s="429" t="n"/>
      <c r="Q42" s="429" t="n"/>
      <c r="R42" s="429" t="n"/>
      <c r="S42" s="429" t="n"/>
      <c r="T42" s="429" t="n"/>
      <c r="U42" s="429" t="n"/>
      <c r="V42" s="429" t="n"/>
      <c r="W42" s="429" t="n"/>
      <c r="X42" s="429" t="n"/>
      <c r="Y42" s="429" t="n"/>
      <c r="Z42" s="429" t="n"/>
      <c r="AA42" s="429" t="n"/>
      <c r="AB42" s="429" t="n"/>
      <c r="AC42" s="429" t="n"/>
      <c r="AD42" s="429" t="n"/>
    </row>
    <row r="43" ht="27.75" customFormat="1" customHeight="1" s="605">
      <c r="A43" s="613" t="inlineStr">
        <is>
          <t>GR099</t>
        </is>
      </c>
      <c r="B43" s="606" t="n"/>
      <c r="C43" s="606" t="n"/>
      <c r="D43" s="606" t="n"/>
      <c r="E43" s="606" t="n"/>
      <c r="F43" s="606" t="n"/>
      <c r="G43" s="606" t="n"/>
      <c r="H43" s="429" t="n"/>
      <c r="I43" s="429" t="n"/>
      <c r="J43" s="429" t="n"/>
      <c r="K43" s="429" t="n"/>
      <c r="L43" s="429" t="n"/>
      <c r="M43" s="429" t="n"/>
      <c r="N43" s="429" t="n"/>
      <c r="O43" s="429" t="n"/>
      <c r="P43" s="429" t="n"/>
      <c r="Q43" s="429" t="n"/>
      <c r="R43" s="429" t="n"/>
      <c r="S43" s="429" t="n"/>
      <c r="T43" s="429" t="n"/>
      <c r="U43" s="429" t="n"/>
      <c r="V43" s="429" t="n"/>
      <c r="W43" s="429" t="n"/>
      <c r="X43" s="429" t="n"/>
      <c r="Y43" s="429" t="n"/>
      <c r="Z43" s="429" t="n"/>
      <c r="AA43" s="429" t="n"/>
      <c r="AB43" s="429" t="n"/>
      <c r="AC43" s="429" t="n"/>
      <c r="AD43" s="429" t="n"/>
    </row>
    <row r="44" ht="27.75" customFormat="1" customHeight="1" s="605">
      <c r="A44" s="613" t="inlineStr">
        <is>
          <t>GR100</t>
        </is>
      </c>
      <c r="B44" s="606" t="n"/>
      <c r="C44" s="606" t="n"/>
      <c r="D44" s="606" t="n"/>
      <c r="E44" s="606" t="n"/>
      <c r="F44" s="606" t="n"/>
      <c r="G44" s="606" t="n"/>
      <c r="H44" s="429" t="n"/>
      <c r="I44" s="429" t="n"/>
      <c r="J44" s="429" t="n"/>
      <c r="K44" s="429" t="n"/>
      <c r="L44" s="429" t="n"/>
      <c r="M44" s="429" t="n"/>
      <c r="N44" s="429" t="n"/>
      <c r="O44" s="429" t="n"/>
      <c r="P44" s="429" t="n"/>
      <c r="Q44" s="429" t="n"/>
      <c r="R44" s="429" t="n"/>
      <c r="S44" s="429" t="n"/>
      <c r="T44" s="429" t="n"/>
      <c r="U44" s="429" t="n"/>
      <c r="V44" s="429" t="n"/>
      <c r="W44" s="429" t="n"/>
      <c r="X44" s="429" t="n"/>
      <c r="Y44" s="429" t="n"/>
      <c r="Z44" s="429" t="n"/>
      <c r="AA44" s="429" t="n"/>
      <c r="AB44" s="429" t="n"/>
      <c r="AC44" s="429" t="n"/>
      <c r="AD44" s="429" t="n"/>
    </row>
    <row r="45" ht="27.75" customFormat="1" customHeight="1" s="605">
      <c r="A45" s="613" t="inlineStr">
        <is>
          <t>GR101</t>
        </is>
      </c>
      <c r="B45" s="606" t="n"/>
      <c r="C45" s="606" t="n"/>
      <c r="D45" s="606" t="n"/>
      <c r="E45" s="606" t="n"/>
      <c r="F45" s="606" t="n"/>
      <c r="G45" s="606" t="n"/>
      <c r="H45" s="429" t="n"/>
      <c r="I45" s="429" t="n"/>
      <c r="J45" s="429" t="n"/>
      <c r="K45" s="429" t="n"/>
      <c r="L45" s="429" t="n"/>
      <c r="M45" s="429" t="n"/>
      <c r="N45" s="429" t="n"/>
      <c r="O45" s="429" t="n"/>
      <c r="P45" s="429" t="n"/>
      <c r="Q45" s="429" t="n"/>
      <c r="R45" s="429" t="n"/>
      <c r="S45" s="429" t="n"/>
      <c r="T45" s="429" t="n"/>
      <c r="U45" s="429" t="n"/>
      <c r="V45" s="429" t="n"/>
      <c r="W45" s="429" t="n"/>
      <c r="X45" s="429" t="n"/>
      <c r="Y45" s="429" t="n"/>
      <c r="Z45" s="429" t="n"/>
      <c r="AA45" s="429" t="n"/>
      <c r="AB45" s="429" t="n"/>
      <c r="AC45" s="429" t="n"/>
      <c r="AD45" s="429" t="n"/>
    </row>
    <row r="46" ht="27.75" customFormat="1" customHeight="1" s="605">
      <c r="A46" s="613" t="inlineStr">
        <is>
          <t>GR102</t>
        </is>
      </c>
      <c r="B46" s="606" t="n"/>
      <c r="C46" s="606" t="n"/>
      <c r="D46" s="606" t="n"/>
      <c r="E46" s="606" t="n"/>
      <c r="F46" s="606" t="n"/>
      <c r="G46" s="606" t="n"/>
      <c r="H46" s="429" t="n"/>
      <c r="I46" s="429" t="n"/>
      <c r="J46" s="429" t="n"/>
      <c r="K46" s="429" t="n"/>
      <c r="L46" s="429" t="n"/>
      <c r="M46" s="429" t="n"/>
      <c r="N46" s="429" t="n"/>
      <c r="O46" s="429" t="n"/>
      <c r="P46" s="429" t="n"/>
      <c r="Q46" s="429" t="n"/>
      <c r="R46" s="429" t="n"/>
      <c r="S46" s="429" t="n"/>
      <c r="T46" s="429" t="n"/>
      <c r="U46" s="429" t="n"/>
      <c r="V46" s="429" t="n"/>
      <c r="W46" s="429" t="n"/>
      <c r="X46" s="429" t="n"/>
      <c r="Y46" s="429" t="n"/>
      <c r="Z46" s="429" t="n"/>
      <c r="AA46" s="429" t="n"/>
      <c r="AB46" s="429" t="n"/>
      <c r="AC46" s="429" t="n"/>
      <c r="AD46" s="429" t="n"/>
    </row>
    <row r="47" ht="27.75" customFormat="1" customHeight="1" s="605">
      <c r="A47" s="613" t="inlineStr">
        <is>
          <t>GR103</t>
        </is>
      </c>
      <c r="B47" s="606" t="n"/>
      <c r="C47" s="606" t="n"/>
      <c r="D47" s="606" t="n"/>
      <c r="E47" s="606" t="n"/>
      <c r="F47" s="606" t="n"/>
      <c r="G47" s="606" t="n"/>
      <c r="H47" s="429" t="n"/>
      <c r="I47" s="429" t="n"/>
      <c r="J47" s="429" t="n"/>
      <c r="K47" s="429" t="n"/>
      <c r="L47" s="429" t="n"/>
      <c r="M47" s="429" t="n"/>
      <c r="N47" s="429" t="n"/>
      <c r="O47" s="429" t="n"/>
      <c r="P47" s="429" t="n"/>
      <c r="Q47" s="429" t="n"/>
      <c r="R47" s="429" t="n"/>
      <c r="S47" s="429" t="n"/>
      <c r="T47" s="429" t="n"/>
      <c r="U47" s="429" t="n"/>
      <c r="V47" s="429" t="n"/>
      <c r="W47" s="429" t="n"/>
      <c r="X47" s="429" t="n"/>
      <c r="Y47" s="429" t="n"/>
      <c r="Z47" s="429" t="n"/>
      <c r="AA47" s="429" t="n"/>
      <c r="AB47" s="429" t="n"/>
      <c r="AC47" s="429" t="n"/>
      <c r="AD47" s="429" t="n"/>
    </row>
    <row r="48" ht="27.75" customFormat="1" customHeight="1" s="605">
      <c r="A48" s="613" t="inlineStr">
        <is>
          <t>GR104</t>
        </is>
      </c>
      <c r="B48" s="606" t="n"/>
      <c r="C48" s="606" t="n"/>
      <c r="D48" s="606" t="n"/>
      <c r="E48" s="606" t="n"/>
      <c r="F48" s="606" t="n"/>
      <c r="G48" s="606" t="n"/>
      <c r="H48" s="429" t="n"/>
      <c r="I48" s="429" t="n"/>
      <c r="J48" s="429" t="n"/>
      <c r="K48" s="429" t="n"/>
      <c r="L48" s="429" t="n"/>
      <c r="M48" s="429" t="n"/>
      <c r="N48" s="429" t="n"/>
      <c r="O48" s="429" t="n"/>
      <c r="P48" s="429" t="n"/>
      <c r="Q48" s="429" t="n"/>
      <c r="R48" s="429" t="n"/>
      <c r="S48" s="429" t="n"/>
      <c r="T48" s="429" t="n"/>
      <c r="U48" s="429" t="n"/>
      <c r="V48" s="429" t="n"/>
      <c r="W48" s="429" t="n"/>
      <c r="X48" s="429" t="n"/>
      <c r="Y48" s="429" t="n"/>
      <c r="Z48" s="429" t="n"/>
      <c r="AA48" s="429" t="n"/>
      <c r="AB48" s="429" t="n"/>
      <c r="AC48" s="429" t="n"/>
      <c r="AD48" s="429" t="n"/>
    </row>
    <row r="49" ht="27.75" customFormat="1" customHeight="1" s="605">
      <c r="A49" s="613" t="inlineStr">
        <is>
          <t>GR105</t>
        </is>
      </c>
      <c r="B49" s="606" t="n"/>
      <c r="C49" s="606" t="n"/>
      <c r="D49" s="606" t="n"/>
      <c r="E49" s="606" t="n"/>
      <c r="F49" s="606" t="n"/>
      <c r="G49" s="606" t="n"/>
      <c r="H49" s="429" t="n"/>
      <c r="I49" s="429" t="n"/>
      <c r="J49" s="429" t="n"/>
      <c r="K49" s="429" t="n"/>
      <c r="L49" s="429" t="n"/>
      <c r="M49" s="429" t="n"/>
      <c r="N49" s="429" t="n"/>
      <c r="O49" s="429" t="n"/>
      <c r="P49" s="429" t="n"/>
      <c r="Q49" s="429" t="n"/>
      <c r="R49" s="429" t="n"/>
      <c r="S49" s="429" t="n"/>
      <c r="T49" s="429" t="n"/>
      <c r="U49" s="429" t="n"/>
      <c r="V49" s="429" t="n"/>
      <c r="W49" s="429" t="n"/>
      <c r="X49" s="429" t="n"/>
      <c r="Y49" s="429" t="n"/>
      <c r="Z49" s="429" t="n"/>
      <c r="AA49" s="429" t="n"/>
      <c r="AB49" s="429" t="n"/>
      <c r="AC49" s="429" t="n"/>
      <c r="AD49" s="429" t="n"/>
    </row>
    <row r="50" ht="27.75" customFormat="1" customHeight="1" s="605">
      <c r="A50" s="613" t="inlineStr">
        <is>
          <t>GR106</t>
        </is>
      </c>
      <c r="B50" s="606" t="n"/>
      <c r="C50" s="606" t="n"/>
      <c r="D50" s="606" t="n"/>
      <c r="E50" s="606" t="n"/>
      <c r="F50" s="606" t="n"/>
      <c r="G50" s="606" t="n"/>
      <c r="H50" s="429" t="n"/>
      <c r="I50" s="429" t="n"/>
      <c r="J50" s="429" t="n"/>
      <c r="K50" s="429" t="n"/>
      <c r="L50" s="429" t="n"/>
      <c r="M50" s="429" t="n"/>
      <c r="N50" s="429" t="n"/>
      <c r="O50" s="429" t="n"/>
      <c r="P50" s="429" t="n"/>
      <c r="Q50" s="429" t="n"/>
      <c r="R50" s="429" t="n"/>
      <c r="S50" s="429" t="n"/>
      <c r="T50" s="429" t="n"/>
      <c r="U50" s="429" t="n"/>
      <c r="V50" s="429" t="n"/>
      <c r="W50" s="429" t="n"/>
      <c r="X50" s="429" t="n"/>
      <c r="Y50" s="429" t="n"/>
      <c r="Z50" s="429" t="n"/>
      <c r="AA50" s="429" t="n"/>
      <c r="AB50" s="429" t="n"/>
      <c r="AC50" s="429" t="n"/>
      <c r="AD50" s="429" t="n"/>
    </row>
    <row r="51" ht="27.75" customFormat="1" customHeight="1" s="605">
      <c r="A51" s="613" t="inlineStr">
        <is>
          <t>GR107</t>
        </is>
      </c>
      <c r="B51" s="606" t="n"/>
      <c r="C51" s="606" t="n"/>
      <c r="D51" s="606" t="n"/>
      <c r="E51" s="606" t="n"/>
      <c r="F51" s="606" t="n"/>
      <c r="G51" s="606" t="n"/>
      <c r="H51" s="429" t="n"/>
      <c r="I51" s="429" t="n"/>
      <c r="J51" s="429" t="n"/>
      <c r="K51" s="429" t="n"/>
      <c r="L51" s="429" t="n"/>
      <c r="M51" s="429" t="n"/>
      <c r="N51" s="429" t="n"/>
      <c r="O51" s="429" t="n"/>
      <c r="P51" s="429" t="n"/>
      <c r="Q51" s="429" t="n"/>
      <c r="R51" s="429" t="n"/>
      <c r="S51" s="429" t="n"/>
      <c r="T51" s="429" t="n"/>
      <c r="U51" s="429" t="n"/>
      <c r="V51" s="429" t="n"/>
      <c r="W51" s="429" t="n"/>
      <c r="X51" s="429" t="n"/>
      <c r="Y51" s="429" t="n"/>
      <c r="Z51" s="429" t="n"/>
      <c r="AA51" s="429" t="n"/>
      <c r="AB51" s="429" t="n"/>
      <c r="AC51" s="429" t="n"/>
      <c r="AD51" s="429" t="n"/>
    </row>
    <row r="52" ht="27.75" customFormat="1" customHeight="1" s="605">
      <c r="A52" s="613" t="inlineStr">
        <is>
          <t>GR108</t>
        </is>
      </c>
      <c r="B52" s="606" t="n"/>
      <c r="C52" s="606" t="n"/>
      <c r="D52" s="606" t="n"/>
      <c r="E52" s="606" t="n"/>
      <c r="F52" s="606" t="n"/>
      <c r="G52" s="606" t="n"/>
      <c r="H52" s="429" t="n"/>
      <c r="I52" s="429" t="n"/>
      <c r="J52" s="429" t="n"/>
      <c r="K52" s="429" t="n"/>
      <c r="L52" s="429" t="n"/>
      <c r="M52" s="429" t="n"/>
      <c r="N52" s="429" t="n"/>
      <c r="O52" s="429" t="n"/>
      <c r="P52" s="429" t="n"/>
      <c r="Q52" s="429" t="n"/>
      <c r="R52" s="429" t="n"/>
      <c r="S52" s="429" t="n"/>
      <c r="T52" s="429" t="n"/>
      <c r="U52" s="429" t="n"/>
      <c r="V52" s="429" t="n"/>
      <c r="W52" s="429" t="n"/>
      <c r="X52" s="429" t="n"/>
      <c r="Y52" s="429" t="n"/>
      <c r="Z52" s="429" t="n"/>
      <c r="AA52" s="429" t="n"/>
      <c r="AB52" s="429" t="n"/>
      <c r="AC52" s="429" t="n"/>
      <c r="AD52" s="429" t="n"/>
    </row>
    <row r="53" ht="27.75" customFormat="1" customHeight="1" s="605">
      <c r="A53" s="613" t="inlineStr">
        <is>
          <t>GR109</t>
        </is>
      </c>
      <c r="B53" s="606" t="n"/>
      <c r="C53" s="606" t="n"/>
      <c r="D53" s="606" t="n"/>
      <c r="E53" s="606" t="n"/>
      <c r="F53" s="606" t="n"/>
      <c r="G53" s="606" t="n"/>
      <c r="H53" s="429" t="n"/>
      <c r="I53" s="429" t="n"/>
      <c r="J53" s="429" t="n"/>
      <c r="K53" s="429" t="n"/>
      <c r="L53" s="429" t="n"/>
      <c r="M53" s="429" t="n"/>
      <c r="N53" s="429" t="n"/>
      <c r="O53" s="429" t="n"/>
      <c r="P53" s="429" t="n"/>
      <c r="Q53" s="429" t="n"/>
      <c r="R53" s="429" t="n"/>
      <c r="S53" s="429" t="n"/>
      <c r="T53" s="429" t="n"/>
      <c r="U53" s="429" t="n"/>
      <c r="V53" s="429" t="n"/>
      <c r="W53" s="429" t="n"/>
      <c r="X53" s="429" t="n"/>
      <c r="Y53" s="429" t="n"/>
      <c r="Z53" s="429" t="n"/>
      <c r="AA53" s="429" t="n"/>
      <c r="AB53" s="429" t="n"/>
      <c r="AC53" s="429" t="n"/>
      <c r="AD53" s="429" t="n"/>
    </row>
    <row r="54" ht="27.75" customFormat="1" customHeight="1" s="605">
      <c r="A54" s="613" t="inlineStr">
        <is>
          <t>GR110</t>
        </is>
      </c>
      <c r="B54" s="606" t="n"/>
      <c r="C54" s="606" t="n"/>
      <c r="D54" s="606" t="n"/>
      <c r="E54" s="606" t="n"/>
      <c r="F54" s="606" t="n"/>
      <c r="G54" s="606" t="n"/>
      <c r="H54" s="429" t="n"/>
      <c r="I54" s="429" t="n"/>
      <c r="J54" s="429" t="n"/>
      <c r="K54" s="429" t="n"/>
      <c r="L54" s="429" t="n"/>
      <c r="M54" s="429" t="n"/>
      <c r="N54" s="429" t="n"/>
      <c r="O54" s="429" t="n"/>
      <c r="P54" s="429" t="n"/>
      <c r="Q54" s="429" t="n"/>
      <c r="R54" s="429" t="n"/>
      <c r="S54" s="429" t="n"/>
      <c r="T54" s="429" t="n"/>
      <c r="U54" s="429" t="n"/>
      <c r="V54" s="429" t="n"/>
      <c r="W54" s="429" t="n"/>
      <c r="X54" s="429" t="n"/>
      <c r="Y54" s="429" t="n"/>
      <c r="Z54" s="429" t="n"/>
      <c r="AA54" s="429" t="n"/>
      <c r="AB54" s="429" t="n"/>
      <c r="AC54" s="429" t="n"/>
      <c r="AD54" s="429" t="n"/>
    </row>
    <row r="55" ht="27.75" customFormat="1" customHeight="1" s="605">
      <c r="A55" s="613" t="inlineStr">
        <is>
          <t>GR111</t>
        </is>
      </c>
      <c r="B55" s="606" t="n"/>
      <c r="C55" s="606" t="n"/>
      <c r="D55" s="606" t="n"/>
      <c r="E55" s="606" t="n"/>
      <c r="F55" s="606" t="n"/>
      <c r="G55" s="606" t="n"/>
      <c r="H55" s="429" t="n"/>
      <c r="I55" s="429" t="n"/>
      <c r="J55" s="429" t="n"/>
      <c r="K55" s="429" t="n"/>
      <c r="L55" s="429" t="n"/>
      <c r="M55" s="429" t="n"/>
      <c r="N55" s="429" t="n"/>
      <c r="O55" s="429" t="n"/>
      <c r="P55" s="429" t="n"/>
      <c r="Q55" s="429" t="n"/>
      <c r="R55" s="429" t="n"/>
      <c r="S55" s="429" t="n"/>
      <c r="T55" s="429" t="n"/>
      <c r="U55" s="429" t="n"/>
      <c r="V55" s="429" t="n"/>
      <c r="W55" s="429" t="n"/>
      <c r="X55" s="429" t="n"/>
      <c r="Y55" s="429" t="n"/>
      <c r="Z55" s="429" t="n"/>
      <c r="AA55" s="429" t="n"/>
      <c r="AB55" s="429" t="n"/>
      <c r="AC55" s="429" t="n"/>
      <c r="AD55" s="429" t="n"/>
    </row>
    <row r="56" ht="27.75" customFormat="1" customHeight="1" s="605">
      <c r="A56" s="613" t="inlineStr">
        <is>
          <t>GR112</t>
        </is>
      </c>
      <c r="B56" s="606" t="n"/>
      <c r="C56" s="606" t="n"/>
      <c r="D56" s="606" t="n"/>
      <c r="E56" s="606" t="n"/>
      <c r="F56" s="606" t="n"/>
      <c r="G56" s="606" t="n"/>
      <c r="H56" s="429" t="n"/>
      <c r="I56" s="429" t="n"/>
      <c r="J56" s="429" t="n"/>
      <c r="K56" s="429" t="n"/>
      <c r="L56" s="429" t="n"/>
      <c r="M56" s="429" t="n"/>
      <c r="N56" s="429" t="n"/>
      <c r="O56" s="429" t="n"/>
      <c r="P56" s="429" t="n"/>
      <c r="Q56" s="429" t="n"/>
      <c r="R56" s="429" t="n"/>
      <c r="S56" s="429" t="n"/>
      <c r="T56" s="429" t="n"/>
      <c r="U56" s="429" t="n"/>
      <c r="V56" s="429" t="n"/>
      <c r="W56" s="429" t="n"/>
      <c r="X56" s="429" t="n"/>
      <c r="Y56" s="429" t="n"/>
      <c r="Z56" s="429" t="n"/>
      <c r="AA56" s="429" t="n"/>
      <c r="AB56" s="429" t="n"/>
      <c r="AC56" s="429" t="n"/>
      <c r="AD56" s="429" t="n"/>
    </row>
    <row r="57" ht="27.75" customFormat="1" customHeight="1" s="605">
      <c r="A57" s="613" t="inlineStr">
        <is>
          <t>GR113</t>
        </is>
      </c>
      <c r="B57" s="606" t="n"/>
      <c r="C57" s="606" t="n"/>
      <c r="D57" s="606" t="n"/>
      <c r="E57" s="606" t="n"/>
      <c r="F57" s="606" t="n"/>
      <c r="G57" s="606" t="n"/>
      <c r="H57" s="429" t="n"/>
      <c r="I57" s="429" t="n"/>
      <c r="J57" s="429" t="n"/>
      <c r="K57" s="429" t="n"/>
      <c r="L57" s="429" t="n"/>
      <c r="M57" s="429" t="n"/>
      <c r="N57" s="429" t="n"/>
      <c r="O57" s="429" t="n"/>
      <c r="P57" s="429" t="n"/>
      <c r="Q57" s="429" t="n"/>
      <c r="R57" s="429" t="n"/>
      <c r="S57" s="429" t="n"/>
      <c r="T57" s="429" t="n"/>
      <c r="U57" s="429" t="n"/>
      <c r="V57" s="429" t="n"/>
      <c r="W57" s="429" t="n"/>
      <c r="X57" s="429" t="n"/>
      <c r="Y57" s="429" t="n"/>
      <c r="Z57" s="429" t="n"/>
      <c r="AA57" s="429" t="n"/>
      <c r="AB57" s="429" t="n"/>
      <c r="AC57" s="429" t="n"/>
      <c r="AD57" s="429" t="n"/>
    </row>
    <row r="58" ht="27.75" customFormat="1" customHeight="1" s="605">
      <c r="A58" s="613" t="inlineStr">
        <is>
          <t>GR114</t>
        </is>
      </c>
      <c r="B58" s="606" t="n"/>
      <c r="C58" s="606" t="n"/>
      <c r="D58" s="606" t="n"/>
      <c r="E58" s="606" t="n"/>
      <c r="F58" s="606" t="n"/>
      <c r="G58" s="606" t="n"/>
      <c r="H58" s="429" t="n"/>
      <c r="I58" s="429" t="n"/>
      <c r="J58" s="429" t="n"/>
      <c r="K58" s="429" t="n"/>
      <c r="L58" s="429" t="n"/>
      <c r="M58" s="429" t="n"/>
      <c r="N58" s="429" t="n"/>
      <c r="O58" s="429" t="n"/>
      <c r="P58" s="429" t="n"/>
      <c r="Q58" s="429" t="n"/>
      <c r="R58" s="429" t="n"/>
      <c r="S58" s="429" t="n"/>
      <c r="T58" s="429" t="n"/>
      <c r="U58" s="429" t="n"/>
      <c r="V58" s="429" t="n"/>
      <c r="W58" s="429" t="n"/>
      <c r="X58" s="429" t="n"/>
      <c r="Y58" s="429" t="n"/>
      <c r="Z58" s="429" t="n"/>
      <c r="AA58" s="429" t="n"/>
      <c r="AB58" s="429" t="n"/>
      <c r="AC58" s="429" t="n"/>
      <c r="AD58" s="429" t="n"/>
    </row>
    <row r="59" ht="27.75" customFormat="1" customHeight="1" s="605">
      <c r="A59" s="613" t="inlineStr">
        <is>
          <t>GR115</t>
        </is>
      </c>
      <c r="B59" s="606" t="n"/>
      <c r="C59" s="606" t="n"/>
      <c r="D59" s="606" t="n"/>
      <c r="E59" s="606" t="n"/>
      <c r="F59" s="606" t="n"/>
      <c r="G59" s="606" t="n"/>
      <c r="H59" s="429" t="n"/>
      <c r="I59" s="429" t="n"/>
      <c r="J59" s="429" t="n"/>
      <c r="K59" s="429" t="n"/>
      <c r="L59" s="429" t="n"/>
      <c r="M59" s="429" t="n"/>
      <c r="N59" s="429" t="n"/>
      <c r="O59" s="429" t="n"/>
      <c r="P59" s="429" t="n"/>
      <c r="Q59" s="429" t="n"/>
      <c r="R59" s="429" t="n"/>
      <c r="S59" s="429" t="n"/>
      <c r="T59" s="429" t="n"/>
      <c r="U59" s="429" t="n"/>
      <c r="V59" s="429" t="n"/>
      <c r="W59" s="429" t="n"/>
      <c r="X59" s="429" t="n"/>
      <c r="Y59" s="429" t="n"/>
      <c r="Z59" s="429" t="n"/>
      <c r="AA59" s="429" t="n"/>
      <c r="AB59" s="429" t="n"/>
      <c r="AC59" s="429" t="n"/>
      <c r="AD59" s="429" t="n"/>
    </row>
    <row r="60" ht="27.75" customFormat="1" customHeight="1" s="605">
      <c r="A60" s="613" t="inlineStr">
        <is>
          <t>GR116</t>
        </is>
      </c>
      <c r="B60" s="606" t="n"/>
      <c r="C60" s="606" t="n"/>
      <c r="D60" s="606" t="n"/>
      <c r="E60" s="606" t="n"/>
      <c r="F60" s="606" t="n"/>
      <c r="G60" s="606" t="n"/>
      <c r="H60" s="429" t="n"/>
      <c r="I60" s="429" t="n"/>
      <c r="J60" s="429" t="n"/>
      <c r="K60" s="429" t="n"/>
      <c r="L60" s="429" t="n"/>
      <c r="M60" s="429" t="n"/>
      <c r="N60" s="429" t="n"/>
      <c r="O60" s="429" t="n"/>
      <c r="P60" s="429" t="n"/>
      <c r="Q60" s="429" t="n"/>
      <c r="R60" s="429" t="n"/>
      <c r="S60" s="429" t="n"/>
      <c r="T60" s="429" t="n"/>
      <c r="U60" s="429" t="n"/>
      <c r="V60" s="429" t="n"/>
      <c r="W60" s="429" t="n"/>
      <c r="X60" s="429" t="n"/>
      <c r="Y60" s="429" t="n"/>
      <c r="Z60" s="429" t="n"/>
      <c r="AA60" s="429" t="n"/>
      <c r="AB60" s="429" t="n"/>
      <c r="AC60" s="429" t="n"/>
      <c r="AD60" s="429" t="n"/>
    </row>
    <row r="61" ht="27.75" customFormat="1" customHeight="1" s="605">
      <c r="A61" s="613" t="inlineStr">
        <is>
          <t>GR117</t>
        </is>
      </c>
      <c r="B61" s="606" t="n"/>
      <c r="C61" s="606" t="n"/>
      <c r="D61" s="606" t="n"/>
      <c r="E61" s="606" t="n"/>
      <c r="F61" s="606" t="n"/>
      <c r="G61" s="606" t="n"/>
      <c r="H61" s="429" t="n"/>
      <c r="I61" s="429" t="n"/>
      <c r="J61" s="429" t="n"/>
      <c r="K61" s="429" t="n"/>
      <c r="L61" s="429" t="n"/>
      <c r="M61" s="429" t="n"/>
      <c r="N61" s="429" t="n"/>
      <c r="O61" s="429" t="n"/>
      <c r="P61" s="429" t="n"/>
      <c r="Q61" s="429" t="n"/>
      <c r="R61" s="429" t="n"/>
      <c r="S61" s="429" t="n"/>
      <c r="T61" s="429" t="n"/>
      <c r="U61" s="429" t="n"/>
      <c r="V61" s="429" t="n"/>
      <c r="W61" s="429" t="n"/>
      <c r="X61" s="429" t="n"/>
      <c r="Y61" s="429" t="n"/>
      <c r="Z61" s="429" t="n"/>
      <c r="AA61" s="429" t="n"/>
      <c r="AB61" s="429" t="n"/>
      <c r="AC61" s="429" t="n"/>
      <c r="AD61" s="429" t="n"/>
    </row>
    <row r="62" ht="27.75" customFormat="1" customHeight="1" s="605">
      <c r="A62" s="613" t="inlineStr">
        <is>
          <t>GR118</t>
        </is>
      </c>
      <c r="B62" s="606" t="n"/>
      <c r="C62" s="606" t="n"/>
      <c r="D62" s="606" t="n"/>
      <c r="E62" s="606" t="n"/>
      <c r="F62" s="606" t="n"/>
      <c r="G62" s="606" t="n"/>
      <c r="H62" s="429" t="n"/>
      <c r="I62" s="429" t="n"/>
      <c r="J62" s="429" t="n"/>
      <c r="K62" s="429" t="n"/>
      <c r="L62" s="429" t="n"/>
      <c r="M62" s="429" t="n"/>
      <c r="N62" s="429" t="n"/>
      <c r="O62" s="429" t="n"/>
      <c r="P62" s="429" t="n"/>
      <c r="Q62" s="429" t="n"/>
      <c r="R62" s="429" t="n"/>
      <c r="S62" s="429" t="n"/>
      <c r="T62" s="429" t="n"/>
      <c r="U62" s="429" t="n"/>
      <c r="V62" s="429" t="n"/>
      <c r="W62" s="429" t="n"/>
      <c r="X62" s="429" t="n"/>
      <c r="Y62" s="429" t="n"/>
      <c r="Z62" s="429" t="n"/>
      <c r="AA62" s="429" t="n"/>
      <c r="AB62" s="429" t="n"/>
      <c r="AC62" s="429" t="n"/>
      <c r="AD62" s="429" t="n"/>
    </row>
    <row r="63" ht="27.75" customFormat="1" customHeight="1" s="605">
      <c r="A63" s="613" t="inlineStr">
        <is>
          <t>GR119</t>
        </is>
      </c>
      <c r="B63" s="606" t="n"/>
      <c r="C63" s="606" t="n"/>
      <c r="D63" s="606" t="n"/>
      <c r="E63" s="606" t="n"/>
      <c r="F63" s="606" t="n"/>
      <c r="G63" s="606" t="n"/>
      <c r="H63" s="429" t="n"/>
      <c r="I63" s="429" t="n"/>
      <c r="J63" s="429" t="n"/>
      <c r="K63" s="429" t="n"/>
      <c r="L63" s="429" t="n"/>
      <c r="M63" s="429" t="n"/>
      <c r="N63" s="429" t="n"/>
      <c r="O63" s="429" t="n"/>
      <c r="P63" s="429" t="n"/>
      <c r="Q63" s="429" t="n"/>
      <c r="R63" s="429" t="n"/>
      <c r="S63" s="429" t="n"/>
      <c r="T63" s="429" t="n"/>
      <c r="U63" s="429" t="n"/>
      <c r="V63" s="429" t="n"/>
      <c r="W63" s="429" t="n"/>
      <c r="X63" s="429" t="n"/>
      <c r="Y63" s="429" t="n"/>
      <c r="Z63" s="429" t="n"/>
      <c r="AA63" s="429" t="n"/>
      <c r="AB63" s="429" t="n"/>
      <c r="AC63" s="429" t="n"/>
      <c r="AD63" s="429" t="n"/>
    </row>
    <row r="64" ht="27.75" customFormat="1" customHeight="1" s="605">
      <c r="A64" s="613" t="inlineStr">
        <is>
          <t>GR120</t>
        </is>
      </c>
      <c r="B64" s="606" t="n"/>
      <c r="C64" s="606" t="n"/>
      <c r="D64" s="606" t="n"/>
      <c r="E64" s="606" t="n"/>
      <c r="F64" s="606" t="n"/>
      <c r="G64" s="606" t="n"/>
      <c r="H64" s="429" t="n"/>
      <c r="I64" s="429" t="n"/>
      <c r="J64" s="429" t="n"/>
      <c r="K64" s="429" t="n"/>
      <c r="L64" s="429" t="n"/>
      <c r="M64" s="429" t="n"/>
      <c r="N64" s="429" t="n"/>
      <c r="O64" s="429" t="n"/>
      <c r="P64" s="429" t="n"/>
      <c r="Q64" s="429" t="n"/>
      <c r="R64" s="429" t="n"/>
      <c r="S64" s="429" t="n"/>
      <c r="T64" s="429" t="n"/>
      <c r="U64" s="429" t="n"/>
      <c r="V64" s="429" t="n"/>
      <c r="W64" s="429" t="n"/>
      <c r="X64" s="429" t="n"/>
      <c r="Y64" s="429" t="n"/>
      <c r="Z64" s="429" t="n"/>
      <c r="AA64" s="429" t="n"/>
      <c r="AB64" s="429" t="n"/>
      <c r="AC64" s="429" t="n"/>
      <c r="AD64" s="429" t="n"/>
    </row>
    <row r="65" ht="27.75" customFormat="1" customHeight="1" s="605">
      <c r="A65" s="613" t="inlineStr">
        <is>
          <t>GR121</t>
        </is>
      </c>
      <c r="B65" s="606" t="n"/>
      <c r="C65" s="606" t="n"/>
      <c r="D65" s="606" t="n"/>
      <c r="E65" s="606" t="n"/>
      <c r="F65" s="606" t="n"/>
      <c r="G65" s="606" t="n"/>
      <c r="H65" s="429" t="n"/>
      <c r="I65" s="429" t="n"/>
      <c r="J65" s="429" t="n"/>
      <c r="K65" s="429" t="n"/>
      <c r="L65" s="429" t="n"/>
      <c r="M65" s="429" t="n"/>
      <c r="N65" s="429" t="n"/>
      <c r="O65" s="429" t="n"/>
      <c r="P65" s="429" t="n"/>
      <c r="Q65" s="429" t="n"/>
      <c r="R65" s="429" t="n"/>
      <c r="S65" s="429" t="n"/>
      <c r="T65" s="429" t="n"/>
      <c r="U65" s="429" t="n"/>
      <c r="V65" s="429" t="n"/>
      <c r="W65" s="429" t="n"/>
      <c r="X65" s="429" t="n"/>
      <c r="Y65" s="429" t="n"/>
      <c r="Z65" s="429" t="n"/>
      <c r="AA65" s="429" t="n"/>
      <c r="AB65" s="429" t="n"/>
      <c r="AC65" s="429" t="n"/>
      <c r="AD65" s="429" t="n"/>
    </row>
    <row r="66" ht="27.75" customFormat="1" customHeight="1" s="605">
      <c r="A66" s="613" t="inlineStr">
        <is>
          <t>GR122</t>
        </is>
      </c>
      <c r="B66" s="606" t="n"/>
      <c r="C66" s="606" t="n"/>
      <c r="D66" s="606" t="n"/>
      <c r="E66" s="606" t="n"/>
      <c r="F66" s="606" t="n"/>
      <c r="G66" s="606" t="n"/>
      <c r="H66" s="429" t="n"/>
      <c r="I66" s="429" t="n"/>
      <c r="J66" s="429" t="n"/>
      <c r="K66" s="429" t="n"/>
      <c r="L66" s="429" t="n"/>
      <c r="M66" s="429" t="n"/>
      <c r="N66" s="429" t="n"/>
      <c r="O66" s="429" t="n"/>
      <c r="P66" s="429" t="n"/>
      <c r="Q66" s="429" t="n"/>
      <c r="R66" s="429" t="n"/>
      <c r="S66" s="429" t="n"/>
      <c r="T66" s="429" t="n"/>
      <c r="U66" s="429" t="n"/>
      <c r="V66" s="429" t="n"/>
      <c r="W66" s="429" t="n"/>
      <c r="X66" s="429" t="n"/>
      <c r="Y66" s="429" t="n"/>
      <c r="Z66" s="429" t="n"/>
      <c r="AA66" s="429" t="n"/>
      <c r="AB66" s="429" t="n"/>
      <c r="AC66" s="429" t="n"/>
      <c r="AD66" s="429" t="n"/>
    </row>
    <row r="67" ht="27.75" customFormat="1" customHeight="1" s="605">
      <c r="A67" s="613" t="inlineStr">
        <is>
          <t>GR123</t>
        </is>
      </c>
      <c r="B67" s="606" t="n"/>
      <c r="C67" s="606" t="n"/>
      <c r="D67" s="606" t="n"/>
      <c r="E67" s="606" t="n"/>
      <c r="F67" s="606" t="n"/>
      <c r="G67" s="606" t="n"/>
      <c r="H67" s="429" t="n"/>
      <c r="I67" s="429" t="n"/>
      <c r="J67" s="429" t="n"/>
      <c r="K67" s="429" t="n"/>
      <c r="L67" s="429" t="n"/>
      <c r="M67" s="429" t="n"/>
      <c r="N67" s="429" t="n"/>
      <c r="O67" s="429" t="n"/>
      <c r="P67" s="429" t="n"/>
      <c r="Q67" s="429" t="n"/>
      <c r="R67" s="429" t="n"/>
      <c r="S67" s="429" t="n"/>
      <c r="T67" s="429" t="n"/>
      <c r="U67" s="429" t="n"/>
      <c r="V67" s="429" t="n"/>
      <c r="W67" s="429" t="n"/>
      <c r="X67" s="429" t="n"/>
      <c r="Y67" s="429" t="n"/>
      <c r="Z67" s="429" t="n"/>
      <c r="AA67" s="429" t="n"/>
      <c r="AB67" s="429" t="n"/>
      <c r="AC67" s="429" t="n"/>
      <c r="AD67" s="429" t="n"/>
    </row>
    <row r="68" ht="27.75" customFormat="1" customHeight="1" s="605">
      <c r="A68" s="613" t="inlineStr">
        <is>
          <t>GR124</t>
        </is>
      </c>
      <c r="B68" s="606" t="n"/>
      <c r="C68" s="606" t="n"/>
      <c r="D68" s="606" t="n"/>
      <c r="E68" s="606" t="n"/>
      <c r="F68" s="606" t="n"/>
      <c r="G68" s="606" t="n"/>
      <c r="H68" s="429" t="n"/>
      <c r="I68" s="429" t="n"/>
      <c r="J68" s="429" t="n"/>
      <c r="K68" s="429" t="n"/>
      <c r="L68" s="429" t="n"/>
      <c r="M68" s="429" t="n"/>
      <c r="N68" s="429" t="n"/>
      <c r="O68" s="429" t="n"/>
      <c r="P68" s="429" t="n"/>
      <c r="Q68" s="429" t="n"/>
      <c r="R68" s="429" t="n"/>
      <c r="S68" s="429" t="n"/>
      <c r="T68" s="429" t="n"/>
      <c r="U68" s="429" t="n"/>
      <c r="V68" s="429" t="n"/>
      <c r="W68" s="429" t="n"/>
      <c r="X68" s="429" t="n"/>
      <c r="Y68" s="429" t="n"/>
      <c r="Z68" s="429" t="n"/>
      <c r="AA68" s="429" t="n"/>
      <c r="AB68" s="429" t="n"/>
      <c r="AC68" s="429" t="n"/>
      <c r="AD68" s="429" t="n"/>
    </row>
    <row r="69" ht="27.75" customFormat="1" customHeight="1" s="605">
      <c r="A69" s="613" t="inlineStr">
        <is>
          <t>GR125</t>
        </is>
      </c>
      <c r="B69" s="606" t="n"/>
      <c r="C69" s="606" t="n"/>
      <c r="D69" s="606" t="n"/>
      <c r="E69" s="606" t="n"/>
      <c r="F69" s="606" t="n"/>
      <c r="G69" s="606" t="n"/>
      <c r="H69" s="429" t="n"/>
      <c r="I69" s="429" t="n"/>
      <c r="J69" s="429" t="n"/>
      <c r="K69" s="429" t="n"/>
      <c r="L69" s="429" t="n"/>
      <c r="M69" s="429" t="n"/>
      <c r="N69" s="429" t="n"/>
      <c r="O69" s="429" t="n"/>
      <c r="P69" s="429" t="n"/>
      <c r="Q69" s="429" t="n"/>
      <c r="R69" s="429" t="n"/>
      <c r="S69" s="429" t="n"/>
      <c r="T69" s="429" t="n"/>
      <c r="U69" s="429" t="n"/>
      <c r="V69" s="429" t="n"/>
      <c r="W69" s="429" t="n"/>
      <c r="X69" s="429" t="n"/>
      <c r="Y69" s="429" t="n"/>
      <c r="Z69" s="429" t="n"/>
      <c r="AA69" s="429" t="n"/>
      <c r="AB69" s="429" t="n"/>
      <c r="AC69" s="429" t="n"/>
      <c r="AD69" s="429" t="n"/>
    </row>
    <row r="70" ht="27.75" customFormat="1" customHeight="1" s="605">
      <c r="A70" s="613" t="inlineStr">
        <is>
          <t>GR126</t>
        </is>
      </c>
      <c r="B70" s="606" t="n"/>
      <c r="C70" s="606" t="n"/>
      <c r="D70" s="606" t="n"/>
      <c r="E70" s="606" t="n"/>
      <c r="F70" s="606" t="n"/>
      <c r="G70" s="606" t="n"/>
      <c r="H70" s="429" t="n"/>
      <c r="I70" s="429" t="n"/>
      <c r="J70" s="429" t="n"/>
      <c r="K70" s="429" t="n"/>
      <c r="L70" s="429" t="n"/>
      <c r="M70" s="429" t="n"/>
      <c r="N70" s="429" t="n"/>
      <c r="O70" s="429" t="n"/>
      <c r="P70" s="429" t="n"/>
      <c r="Q70" s="429" t="n"/>
      <c r="R70" s="429" t="n"/>
      <c r="S70" s="429" t="n"/>
      <c r="T70" s="429" t="n"/>
      <c r="U70" s="429" t="n"/>
      <c r="V70" s="429" t="n"/>
      <c r="W70" s="429" t="n"/>
      <c r="X70" s="429" t="n"/>
      <c r="Y70" s="429" t="n"/>
      <c r="Z70" s="429" t="n"/>
      <c r="AA70" s="429" t="n"/>
      <c r="AB70" s="429" t="n"/>
      <c r="AC70" s="429" t="n"/>
      <c r="AD70" s="429" t="n"/>
    </row>
    <row r="71" ht="27.75" customFormat="1" customHeight="1" s="605">
      <c r="A71" s="613" t="inlineStr">
        <is>
          <t>GR127</t>
        </is>
      </c>
      <c r="B71" s="606" t="n"/>
      <c r="C71" s="606" t="n"/>
      <c r="D71" s="606" t="n"/>
      <c r="E71" s="606" t="n"/>
      <c r="F71" s="606" t="n"/>
      <c r="G71" s="606" t="n"/>
      <c r="H71" s="429" t="n"/>
      <c r="I71" s="429" t="n"/>
      <c r="J71" s="429" t="n"/>
      <c r="K71" s="429" t="n"/>
      <c r="L71" s="429" t="n"/>
      <c r="M71" s="429" t="n"/>
      <c r="N71" s="429" t="n"/>
      <c r="O71" s="429" t="n"/>
      <c r="P71" s="429" t="n"/>
      <c r="Q71" s="429" t="n"/>
      <c r="R71" s="429" t="n"/>
      <c r="S71" s="429" t="n"/>
      <c r="T71" s="429" t="n"/>
      <c r="U71" s="429" t="n"/>
      <c r="V71" s="429" t="n"/>
      <c r="W71" s="429" t="n"/>
      <c r="X71" s="429" t="n"/>
      <c r="Y71" s="429" t="n"/>
      <c r="Z71" s="429" t="n"/>
      <c r="AA71" s="429" t="n"/>
      <c r="AB71" s="429" t="n"/>
      <c r="AC71" s="429" t="n"/>
      <c r="AD71" s="429" t="n"/>
    </row>
    <row r="72" ht="27.75" customFormat="1" customHeight="1" s="605">
      <c r="A72" s="613" t="inlineStr">
        <is>
          <t>GR128</t>
        </is>
      </c>
      <c r="B72" s="606" t="n"/>
      <c r="C72" s="606" t="n"/>
      <c r="D72" s="606" t="n"/>
      <c r="E72" s="606" t="n"/>
      <c r="F72" s="606" t="n"/>
      <c r="G72" s="606" t="n"/>
      <c r="H72" s="429" t="n"/>
      <c r="I72" s="429" t="n"/>
      <c r="J72" s="429" t="n"/>
      <c r="K72" s="429" t="n"/>
      <c r="L72" s="429" t="n"/>
      <c r="M72" s="429" t="n"/>
      <c r="N72" s="429" t="n"/>
      <c r="O72" s="429" t="n"/>
      <c r="P72" s="429" t="n"/>
      <c r="Q72" s="429" t="n"/>
      <c r="R72" s="429" t="n"/>
      <c r="S72" s="429" t="n"/>
      <c r="T72" s="429" t="n"/>
      <c r="U72" s="429" t="n"/>
      <c r="V72" s="429" t="n"/>
      <c r="W72" s="429" t="n"/>
      <c r="X72" s="429" t="n"/>
      <c r="Y72" s="429" t="n"/>
      <c r="Z72" s="429" t="n"/>
      <c r="AA72" s="429" t="n"/>
      <c r="AB72" s="429" t="n"/>
      <c r="AC72" s="429" t="n"/>
      <c r="AD72" s="429" t="n"/>
    </row>
    <row r="73" ht="27.75" customFormat="1" customHeight="1" s="605">
      <c r="A73" s="613" t="inlineStr">
        <is>
          <t>GR129</t>
        </is>
      </c>
      <c r="B73" s="606" t="n"/>
      <c r="C73" s="606" t="n"/>
      <c r="D73" s="606" t="n"/>
      <c r="E73" s="606" t="n"/>
      <c r="F73" s="606" t="n"/>
      <c r="G73" s="606" t="n"/>
      <c r="H73" s="429" t="n"/>
      <c r="I73" s="429" t="n"/>
      <c r="J73" s="429" t="n"/>
      <c r="K73" s="429" t="n"/>
      <c r="L73" s="429" t="n"/>
      <c r="M73" s="429" t="n"/>
      <c r="N73" s="429" t="n"/>
      <c r="O73" s="429" t="n"/>
      <c r="P73" s="429" t="n"/>
      <c r="Q73" s="429" t="n"/>
      <c r="R73" s="429" t="n"/>
      <c r="S73" s="429" t="n"/>
      <c r="T73" s="429" t="n"/>
      <c r="U73" s="429" t="n"/>
      <c r="V73" s="429" t="n"/>
      <c r="W73" s="429" t="n"/>
      <c r="X73" s="429" t="n"/>
      <c r="Y73" s="429" t="n"/>
      <c r="Z73" s="429" t="n"/>
      <c r="AA73" s="429" t="n"/>
      <c r="AB73" s="429" t="n"/>
      <c r="AC73" s="429" t="n"/>
      <c r="AD73" s="429" t="n"/>
    </row>
    <row r="74" ht="27.75" customFormat="1" customHeight="1" s="605">
      <c r="A74" s="613" t="inlineStr">
        <is>
          <t>GR130</t>
        </is>
      </c>
      <c r="B74" s="606" t="n"/>
      <c r="C74" s="606" t="n"/>
      <c r="D74" s="606" t="n"/>
      <c r="E74" s="606" t="n"/>
      <c r="F74" s="606" t="n"/>
      <c r="G74" s="606" t="n"/>
      <c r="H74" s="429" t="n"/>
      <c r="I74" s="429" t="n"/>
      <c r="J74" s="429" t="n"/>
      <c r="K74" s="429" t="n"/>
      <c r="L74" s="429" t="n"/>
      <c r="M74" s="429" t="n"/>
      <c r="N74" s="429" t="n"/>
      <c r="O74" s="429" t="n"/>
      <c r="P74" s="429" t="n"/>
      <c r="Q74" s="429" t="n"/>
      <c r="R74" s="429" t="n"/>
      <c r="S74" s="429" t="n"/>
      <c r="T74" s="429" t="n"/>
      <c r="U74" s="429" t="n"/>
      <c r="V74" s="429" t="n"/>
      <c r="W74" s="429" t="n"/>
      <c r="X74" s="429" t="n"/>
      <c r="Y74" s="429" t="n"/>
      <c r="Z74" s="429" t="n"/>
      <c r="AA74" s="429" t="n"/>
      <c r="AB74" s="429" t="n"/>
      <c r="AC74" s="429" t="n"/>
      <c r="AD74" s="429" t="n"/>
    </row>
    <row r="75" ht="27.75" customFormat="1" customHeight="1" s="605">
      <c r="A75" s="613" t="inlineStr">
        <is>
          <t>GR131</t>
        </is>
      </c>
      <c r="B75" s="606" t="n"/>
      <c r="C75" s="606" t="n"/>
      <c r="D75" s="606" t="n"/>
      <c r="E75" s="606" t="n"/>
      <c r="F75" s="606" t="n"/>
      <c r="G75" s="606" t="n"/>
      <c r="H75" s="429" t="n"/>
      <c r="I75" s="429" t="n"/>
      <c r="J75" s="429" t="n"/>
      <c r="K75" s="429" t="n"/>
      <c r="L75" s="429" t="n"/>
      <c r="M75" s="429" t="n"/>
      <c r="N75" s="429" t="n"/>
      <c r="O75" s="429" t="n"/>
      <c r="P75" s="429" t="n"/>
      <c r="Q75" s="429" t="n"/>
      <c r="R75" s="429" t="n"/>
      <c r="S75" s="429" t="n"/>
      <c r="T75" s="429" t="n"/>
      <c r="U75" s="429" t="n"/>
      <c r="V75" s="429" t="n"/>
      <c r="W75" s="429" t="n"/>
      <c r="X75" s="429" t="n"/>
      <c r="Y75" s="429" t="n"/>
      <c r="Z75" s="429" t="n"/>
      <c r="AA75" s="429" t="n"/>
      <c r="AB75" s="429" t="n"/>
      <c r="AC75" s="429" t="n"/>
      <c r="AD75" s="429" t="n"/>
    </row>
    <row r="76" ht="27.75" customFormat="1" customHeight="1" s="605">
      <c r="A76" s="613" t="inlineStr">
        <is>
          <t>GR132</t>
        </is>
      </c>
      <c r="B76" s="606" t="n"/>
      <c r="C76" s="606" t="n"/>
      <c r="D76" s="606" t="n"/>
      <c r="E76" s="606" t="n"/>
      <c r="F76" s="606" t="n"/>
      <c r="G76" s="606" t="n"/>
      <c r="H76" s="429" t="n"/>
      <c r="I76" s="429" t="n"/>
      <c r="J76" s="429" t="n"/>
      <c r="K76" s="429" t="n"/>
      <c r="L76" s="429" t="n"/>
      <c r="M76" s="429" t="n"/>
      <c r="N76" s="429" t="n"/>
      <c r="O76" s="429" t="n"/>
      <c r="P76" s="429" t="n"/>
      <c r="Q76" s="429" t="n"/>
      <c r="R76" s="429" t="n"/>
      <c r="S76" s="429" t="n"/>
      <c r="T76" s="429" t="n"/>
      <c r="U76" s="429" t="n"/>
      <c r="V76" s="429" t="n"/>
      <c r="W76" s="429" t="n"/>
      <c r="X76" s="429" t="n"/>
      <c r="Y76" s="429" t="n"/>
      <c r="Z76" s="429" t="n"/>
      <c r="AA76" s="429" t="n"/>
      <c r="AB76" s="429" t="n"/>
      <c r="AC76" s="429" t="n"/>
      <c r="AD76" s="429" t="n"/>
    </row>
    <row r="77" ht="27.75" customFormat="1" customHeight="1" s="605">
      <c r="A77" s="613" t="inlineStr">
        <is>
          <t>GR133</t>
        </is>
      </c>
      <c r="B77" s="606" t="n"/>
      <c r="C77" s="606" t="n"/>
      <c r="D77" s="606" t="n"/>
      <c r="E77" s="606" t="n"/>
      <c r="F77" s="606" t="n"/>
      <c r="G77" s="606" t="n"/>
      <c r="H77" s="429" t="n"/>
      <c r="I77" s="429" t="n"/>
      <c r="J77" s="429" t="n"/>
      <c r="K77" s="429" t="n"/>
      <c r="L77" s="429" t="n"/>
      <c r="M77" s="429" t="n"/>
      <c r="N77" s="429" t="n"/>
      <c r="O77" s="429" t="n"/>
      <c r="P77" s="429" t="n"/>
      <c r="Q77" s="429" t="n"/>
      <c r="R77" s="429" t="n"/>
      <c r="S77" s="429" t="n"/>
      <c r="T77" s="429" t="n"/>
      <c r="U77" s="429" t="n"/>
      <c r="V77" s="429" t="n"/>
      <c r="W77" s="429" t="n"/>
      <c r="X77" s="429" t="n"/>
      <c r="Y77" s="429" t="n"/>
      <c r="Z77" s="429" t="n"/>
      <c r="AA77" s="429" t="n"/>
      <c r="AB77" s="429" t="n"/>
      <c r="AC77" s="429" t="n"/>
      <c r="AD77" s="429" t="n"/>
    </row>
    <row r="78" ht="27.75" customFormat="1" customHeight="1" s="605">
      <c r="A78" s="613" t="inlineStr">
        <is>
          <t>GR134</t>
        </is>
      </c>
      <c r="B78" s="606" t="n"/>
      <c r="C78" s="606" t="n"/>
      <c r="D78" s="606" t="n"/>
      <c r="E78" s="606" t="n"/>
      <c r="F78" s="606" t="n"/>
      <c r="G78" s="606" t="n"/>
      <c r="H78" s="429" t="n"/>
      <c r="I78" s="429" t="n"/>
      <c r="J78" s="429" t="n"/>
      <c r="K78" s="429" t="n"/>
      <c r="L78" s="429" t="n"/>
      <c r="M78" s="429" t="n"/>
      <c r="N78" s="429" t="n"/>
      <c r="O78" s="429" t="n"/>
      <c r="P78" s="429" t="n"/>
      <c r="Q78" s="429" t="n"/>
      <c r="R78" s="429" t="n"/>
      <c r="S78" s="429" t="n"/>
      <c r="T78" s="429" t="n"/>
      <c r="U78" s="429" t="n"/>
      <c r="V78" s="429" t="n"/>
      <c r="W78" s="429" t="n"/>
      <c r="X78" s="429" t="n"/>
      <c r="Y78" s="429" t="n"/>
      <c r="Z78" s="429" t="n"/>
      <c r="AA78" s="429" t="n"/>
      <c r="AB78" s="429" t="n"/>
      <c r="AC78" s="429" t="n"/>
      <c r="AD78" s="429" t="n"/>
    </row>
    <row r="79" ht="27.75" customFormat="1" customHeight="1" s="605">
      <c r="A79" s="613" t="inlineStr">
        <is>
          <t>GR135</t>
        </is>
      </c>
      <c r="B79" s="606" t="n"/>
      <c r="C79" s="606" t="n"/>
      <c r="D79" s="606" t="n"/>
      <c r="E79" s="606" t="n"/>
      <c r="F79" s="606" t="n"/>
      <c r="G79" s="606" t="n"/>
      <c r="H79" s="429" t="n"/>
      <c r="I79" s="429" t="n"/>
      <c r="J79" s="429" t="n"/>
      <c r="K79" s="429" t="n"/>
      <c r="L79" s="429" t="n"/>
      <c r="M79" s="429" t="n"/>
      <c r="N79" s="429" t="n"/>
      <c r="O79" s="429" t="n"/>
      <c r="P79" s="429" t="n"/>
      <c r="Q79" s="429" t="n"/>
      <c r="R79" s="429" t="n"/>
      <c r="S79" s="429" t="n"/>
      <c r="T79" s="429" t="n"/>
      <c r="U79" s="429" t="n"/>
      <c r="V79" s="429" t="n"/>
      <c r="W79" s="429" t="n"/>
      <c r="X79" s="429" t="n"/>
      <c r="Y79" s="429" t="n"/>
      <c r="Z79" s="429" t="n"/>
      <c r="AA79" s="429" t="n"/>
      <c r="AB79" s="429" t="n"/>
      <c r="AC79" s="429" t="n"/>
      <c r="AD79" s="429" t="n"/>
    </row>
    <row r="80" ht="27.75" customFormat="1" customHeight="1" s="605">
      <c r="A80" s="613" t="inlineStr">
        <is>
          <t>GR136</t>
        </is>
      </c>
      <c r="B80" s="606" t="n"/>
      <c r="C80" s="606" t="n"/>
      <c r="D80" s="606" t="n"/>
      <c r="E80" s="606" t="n"/>
      <c r="F80" s="606" t="n"/>
      <c r="G80" s="606" t="n"/>
      <c r="H80" s="429" t="n"/>
      <c r="I80" s="429" t="n"/>
      <c r="J80" s="429" t="n"/>
      <c r="K80" s="429" t="n"/>
      <c r="L80" s="429" t="n"/>
      <c r="M80" s="429" t="n"/>
      <c r="N80" s="429" t="n"/>
      <c r="O80" s="429" t="n"/>
      <c r="P80" s="429" t="n"/>
      <c r="Q80" s="429" t="n"/>
      <c r="R80" s="429" t="n"/>
      <c r="S80" s="429" t="n"/>
      <c r="T80" s="429" t="n"/>
      <c r="U80" s="429" t="n"/>
      <c r="V80" s="429" t="n"/>
      <c r="W80" s="429" t="n"/>
      <c r="X80" s="429" t="n"/>
      <c r="Y80" s="429" t="n"/>
      <c r="Z80" s="429" t="n"/>
      <c r="AA80" s="429" t="n"/>
      <c r="AB80" s="429" t="n"/>
      <c r="AC80" s="429" t="n"/>
      <c r="AD80" s="429" t="n"/>
    </row>
    <row r="81" ht="27.75" customFormat="1" customHeight="1" s="605">
      <c r="A81" s="613" t="inlineStr">
        <is>
          <t>GR137</t>
        </is>
      </c>
      <c r="B81" s="606" t="n"/>
      <c r="C81" s="606" t="n"/>
      <c r="D81" s="606" t="n"/>
      <c r="E81" s="606" t="n"/>
      <c r="F81" s="606" t="n"/>
      <c r="G81" s="606" t="n"/>
      <c r="H81" s="429" t="n"/>
      <c r="I81" s="429" t="n"/>
      <c r="J81" s="429" t="n"/>
      <c r="K81" s="429" t="n"/>
      <c r="L81" s="429" t="n"/>
      <c r="M81" s="429" t="n"/>
      <c r="N81" s="429" t="n"/>
      <c r="O81" s="429" t="n"/>
      <c r="P81" s="429" t="n"/>
      <c r="Q81" s="429" t="n"/>
      <c r="R81" s="429" t="n"/>
      <c r="S81" s="429" t="n"/>
      <c r="T81" s="429" t="n"/>
      <c r="U81" s="429" t="n"/>
      <c r="V81" s="429" t="n"/>
      <c r="W81" s="429" t="n"/>
      <c r="X81" s="429" t="n"/>
      <c r="Y81" s="429" t="n"/>
      <c r="Z81" s="429" t="n"/>
      <c r="AA81" s="429" t="n"/>
      <c r="AB81" s="429" t="n"/>
      <c r="AC81" s="429" t="n"/>
      <c r="AD81" s="429" t="n"/>
    </row>
    <row r="82" ht="27.75" customFormat="1" customHeight="1" s="605">
      <c r="A82" s="613" t="inlineStr">
        <is>
          <t>GR138</t>
        </is>
      </c>
      <c r="B82" s="606" t="n"/>
      <c r="C82" s="606" t="n"/>
      <c r="D82" s="606" t="n"/>
      <c r="E82" s="606" t="n"/>
      <c r="F82" s="606" t="n"/>
      <c r="G82" s="606" t="n"/>
      <c r="H82" s="429" t="n"/>
      <c r="I82" s="429" t="n"/>
      <c r="J82" s="429" t="n"/>
      <c r="K82" s="429" t="n"/>
      <c r="L82" s="429" t="n"/>
      <c r="M82" s="429" t="n"/>
      <c r="N82" s="429" t="n"/>
      <c r="O82" s="429" t="n"/>
      <c r="P82" s="429" t="n"/>
      <c r="Q82" s="429" t="n"/>
      <c r="R82" s="429" t="n"/>
      <c r="S82" s="429" t="n"/>
      <c r="T82" s="429" t="n"/>
      <c r="U82" s="429" t="n"/>
      <c r="V82" s="429" t="n"/>
      <c r="W82" s="429" t="n"/>
      <c r="X82" s="429" t="n"/>
      <c r="Y82" s="429" t="n"/>
      <c r="Z82" s="429" t="n"/>
      <c r="AA82" s="429" t="n"/>
      <c r="AB82" s="429" t="n"/>
      <c r="AC82" s="429" t="n"/>
      <c r="AD82" s="429" t="n"/>
    </row>
    <row r="83" ht="27.75" customFormat="1" customHeight="1" s="605">
      <c r="A83" s="613" t="inlineStr">
        <is>
          <t>GR139</t>
        </is>
      </c>
      <c r="B83" s="606" t="n"/>
      <c r="C83" s="606" t="n"/>
      <c r="D83" s="606" t="n"/>
      <c r="E83" s="606" t="n"/>
      <c r="F83" s="606" t="n"/>
      <c r="G83" s="606" t="n"/>
      <c r="H83" s="429" t="n"/>
      <c r="I83" s="429" t="n"/>
      <c r="J83" s="429" t="n"/>
      <c r="K83" s="429" t="n"/>
      <c r="L83" s="429" t="n"/>
      <c r="M83" s="429" t="n"/>
      <c r="N83" s="429" t="n"/>
      <c r="O83" s="429" t="n"/>
      <c r="P83" s="429" t="n"/>
      <c r="Q83" s="429" t="n"/>
      <c r="R83" s="429" t="n"/>
      <c r="S83" s="429" t="n"/>
      <c r="T83" s="429" t="n"/>
      <c r="U83" s="429" t="n"/>
      <c r="V83" s="429" t="n"/>
      <c r="W83" s="429" t="n"/>
      <c r="X83" s="429" t="n"/>
      <c r="Y83" s="429" t="n"/>
      <c r="Z83" s="429" t="n"/>
      <c r="AA83" s="429" t="n"/>
      <c r="AB83" s="429" t="n"/>
      <c r="AC83" s="429" t="n"/>
      <c r="AD83" s="429" t="n"/>
    </row>
    <row r="84" ht="27.75" customFormat="1" customHeight="1" s="605">
      <c r="A84" s="613" t="inlineStr">
        <is>
          <t>GR140</t>
        </is>
      </c>
      <c r="B84" s="606" t="n"/>
      <c r="C84" s="606" t="n"/>
      <c r="D84" s="606" t="n"/>
      <c r="E84" s="606" t="n"/>
      <c r="F84" s="606" t="n"/>
      <c r="G84" s="606" t="n"/>
      <c r="H84" s="429" t="n"/>
      <c r="I84" s="429" t="n"/>
      <c r="J84" s="429" t="n"/>
      <c r="K84" s="429" t="n"/>
      <c r="L84" s="429" t="n"/>
      <c r="M84" s="429" t="n"/>
      <c r="N84" s="429" t="n"/>
      <c r="O84" s="429" t="n"/>
      <c r="P84" s="429" t="n"/>
      <c r="Q84" s="429" t="n"/>
      <c r="R84" s="429" t="n"/>
      <c r="S84" s="429" t="n"/>
      <c r="T84" s="429" t="n"/>
      <c r="U84" s="429" t="n"/>
      <c r="V84" s="429" t="n"/>
      <c r="W84" s="429" t="n"/>
      <c r="X84" s="429" t="n"/>
      <c r="Y84" s="429" t="n"/>
      <c r="Z84" s="429" t="n"/>
      <c r="AA84" s="429" t="n"/>
      <c r="AB84" s="429" t="n"/>
      <c r="AC84" s="429" t="n"/>
      <c r="AD84" s="429" t="n"/>
    </row>
    <row r="85" ht="27.75" customFormat="1" customHeight="1" s="605">
      <c r="A85" s="613" t="inlineStr">
        <is>
          <t>GR141</t>
        </is>
      </c>
      <c r="B85" s="606" t="n"/>
      <c r="C85" s="606" t="n"/>
      <c r="D85" s="606" t="n"/>
      <c r="E85" s="606" t="n"/>
      <c r="F85" s="606" t="n"/>
      <c r="G85" s="606" t="n"/>
      <c r="H85" s="429" t="n"/>
      <c r="I85" s="429" t="n"/>
      <c r="J85" s="429" t="n"/>
      <c r="K85" s="429" t="n"/>
      <c r="L85" s="429" t="n"/>
      <c r="M85" s="429" t="n"/>
      <c r="N85" s="429" t="n"/>
      <c r="O85" s="429" t="n"/>
      <c r="P85" s="429" t="n"/>
      <c r="Q85" s="429" t="n"/>
      <c r="R85" s="429" t="n"/>
      <c r="S85" s="429" t="n"/>
      <c r="T85" s="429" t="n"/>
      <c r="U85" s="429" t="n"/>
      <c r="V85" s="429" t="n"/>
      <c r="W85" s="429" t="n"/>
      <c r="X85" s="429" t="n"/>
      <c r="Y85" s="429" t="n"/>
      <c r="Z85" s="429" t="n"/>
      <c r="AA85" s="429" t="n"/>
      <c r="AB85" s="429" t="n"/>
      <c r="AC85" s="429" t="n"/>
      <c r="AD85" s="429" t="n"/>
    </row>
    <row r="86" ht="27.75" customFormat="1" customHeight="1" s="605">
      <c r="A86" s="613" t="inlineStr">
        <is>
          <t>GR142</t>
        </is>
      </c>
      <c r="B86" s="606" t="n"/>
      <c r="C86" s="606" t="n"/>
      <c r="D86" s="606" t="n"/>
      <c r="E86" s="606" t="n"/>
      <c r="F86" s="606" t="n"/>
      <c r="G86" s="606" t="n"/>
      <c r="H86" s="429" t="n"/>
      <c r="I86" s="429" t="n"/>
      <c r="J86" s="429" t="n"/>
      <c r="K86" s="429" t="n"/>
      <c r="L86" s="429" t="n"/>
      <c r="M86" s="429" t="n"/>
      <c r="N86" s="429" t="n"/>
      <c r="O86" s="429" t="n"/>
      <c r="P86" s="429" t="n"/>
      <c r="Q86" s="429" t="n"/>
      <c r="R86" s="429" t="n"/>
      <c r="S86" s="429" t="n"/>
      <c r="T86" s="429" t="n"/>
      <c r="U86" s="429" t="n"/>
      <c r="V86" s="429" t="n"/>
      <c r="W86" s="429" t="n"/>
      <c r="X86" s="429" t="n"/>
      <c r="Y86" s="429" t="n"/>
      <c r="Z86" s="429" t="n"/>
      <c r="AA86" s="429" t="n"/>
      <c r="AB86" s="429" t="n"/>
      <c r="AC86" s="429" t="n"/>
      <c r="AD86" s="429" t="n"/>
    </row>
    <row r="87" ht="27.75" customFormat="1" customHeight="1" s="605">
      <c r="A87" s="613" t="inlineStr">
        <is>
          <t>GR143</t>
        </is>
      </c>
      <c r="B87" s="606" t="n"/>
      <c r="C87" s="606" t="n"/>
      <c r="D87" s="606" t="n"/>
      <c r="E87" s="606" t="n"/>
      <c r="F87" s="606" t="n"/>
      <c r="G87" s="606" t="n"/>
      <c r="H87" s="429" t="n"/>
      <c r="I87" s="429" t="n"/>
      <c r="J87" s="429" t="n"/>
      <c r="K87" s="429" t="n"/>
      <c r="L87" s="429" t="n"/>
      <c r="M87" s="429" t="n"/>
      <c r="N87" s="429" t="n"/>
      <c r="O87" s="429" t="n"/>
      <c r="P87" s="429" t="n"/>
      <c r="Q87" s="429" t="n"/>
      <c r="R87" s="429" t="n"/>
      <c r="S87" s="429" t="n"/>
      <c r="T87" s="429" t="n"/>
      <c r="U87" s="429" t="n"/>
      <c r="V87" s="429" t="n"/>
      <c r="W87" s="429" t="n"/>
      <c r="X87" s="429" t="n"/>
      <c r="Y87" s="429" t="n"/>
      <c r="Z87" s="429" t="n"/>
      <c r="AA87" s="429" t="n"/>
      <c r="AB87" s="429" t="n"/>
      <c r="AC87" s="429" t="n"/>
      <c r="AD87" s="429" t="n"/>
    </row>
    <row r="88" ht="27.75" customFormat="1" customHeight="1" s="605">
      <c r="A88" s="613" t="inlineStr">
        <is>
          <t>GR144</t>
        </is>
      </c>
      <c r="B88" s="606" t="n"/>
      <c r="C88" s="606" t="n"/>
      <c r="D88" s="606" t="n"/>
      <c r="E88" s="606" t="n"/>
      <c r="F88" s="606" t="n"/>
      <c r="G88" s="606" t="n"/>
      <c r="H88" s="429" t="n"/>
      <c r="I88" s="429" t="n"/>
      <c r="J88" s="429" t="n"/>
      <c r="K88" s="429" t="n"/>
      <c r="L88" s="429" t="n"/>
      <c r="M88" s="429" t="n"/>
      <c r="N88" s="429" t="n"/>
      <c r="O88" s="429" t="n"/>
      <c r="P88" s="429" t="n"/>
      <c r="Q88" s="429" t="n"/>
      <c r="R88" s="429" t="n"/>
      <c r="S88" s="429" t="n"/>
      <c r="T88" s="429" t="n"/>
      <c r="U88" s="429" t="n"/>
      <c r="V88" s="429" t="n"/>
      <c r="W88" s="429" t="n"/>
      <c r="X88" s="429" t="n"/>
      <c r="Y88" s="429" t="n"/>
      <c r="Z88" s="429" t="n"/>
      <c r="AA88" s="429" t="n"/>
      <c r="AB88" s="429" t="n"/>
      <c r="AC88" s="429" t="n"/>
      <c r="AD88" s="429" t="n"/>
    </row>
    <row r="89" ht="27.75" customFormat="1" customHeight="1" s="605">
      <c r="A89" s="613" t="inlineStr">
        <is>
          <t>GR145</t>
        </is>
      </c>
      <c r="B89" s="606" t="n"/>
      <c r="C89" s="606" t="n"/>
      <c r="D89" s="606" t="n"/>
      <c r="E89" s="606" t="n"/>
      <c r="F89" s="606" t="n"/>
      <c r="G89" s="606" t="n"/>
      <c r="H89" s="429" t="n"/>
      <c r="I89" s="429" t="n"/>
      <c r="J89" s="429" t="n"/>
      <c r="K89" s="429" t="n"/>
      <c r="L89" s="429" t="n"/>
      <c r="M89" s="429" t="n"/>
      <c r="N89" s="429" t="n"/>
      <c r="O89" s="429" t="n"/>
      <c r="P89" s="429" t="n"/>
      <c r="Q89" s="429" t="n"/>
      <c r="R89" s="429" t="n"/>
      <c r="S89" s="429" t="n"/>
      <c r="T89" s="429" t="n"/>
      <c r="U89" s="429" t="n"/>
      <c r="V89" s="429" t="n"/>
      <c r="W89" s="429" t="n"/>
      <c r="X89" s="429" t="n"/>
      <c r="Y89" s="429" t="n"/>
      <c r="Z89" s="429" t="n"/>
      <c r="AA89" s="429" t="n"/>
      <c r="AB89" s="429" t="n"/>
      <c r="AC89" s="429" t="n"/>
      <c r="AD89" s="429" t="n"/>
    </row>
    <row r="90" ht="27.75" customFormat="1" customHeight="1" s="605">
      <c r="A90" s="613" t="inlineStr">
        <is>
          <t>GR146</t>
        </is>
      </c>
      <c r="B90" s="606" t="n"/>
      <c r="C90" s="606" t="n"/>
      <c r="D90" s="606" t="n"/>
      <c r="E90" s="606" t="n"/>
      <c r="F90" s="606" t="n"/>
      <c r="G90" s="606" t="n"/>
      <c r="H90" s="429" t="n"/>
      <c r="I90" s="429" t="n"/>
      <c r="J90" s="429" t="n"/>
      <c r="K90" s="429" t="n"/>
      <c r="L90" s="429" t="n"/>
      <c r="M90" s="429" t="n"/>
      <c r="N90" s="429" t="n"/>
      <c r="O90" s="429" t="n"/>
      <c r="P90" s="429" t="n"/>
      <c r="Q90" s="429" t="n"/>
      <c r="R90" s="429" t="n"/>
      <c r="S90" s="429" t="n"/>
      <c r="T90" s="429" t="n"/>
      <c r="U90" s="429" t="n"/>
      <c r="V90" s="429" t="n"/>
      <c r="W90" s="429" t="n"/>
      <c r="X90" s="429" t="n"/>
      <c r="Y90" s="429" t="n"/>
      <c r="Z90" s="429" t="n"/>
      <c r="AA90" s="429" t="n"/>
      <c r="AB90" s="429" t="n"/>
      <c r="AC90" s="429" t="n"/>
      <c r="AD90" s="429" t="n"/>
    </row>
    <row r="91" ht="27.75" customFormat="1" customHeight="1" s="605">
      <c r="A91" s="613" t="inlineStr">
        <is>
          <t>GR147</t>
        </is>
      </c>
      <c r="B91" s="606" t="n"/>
      <c r="C91" s="606" t="n"/>
      <c r="D91" s="606" t="n"/>
      <c r="E91" s="606" t="n"/>
      <c r="F91" s="606" t="n"/>
      <c r="G91" s="606" t="n"/>
      <c r="H91" s="429" t="n"/>
      <c r="I91" s="429" t="n"/>
      <c r="J91" s="429" t="n"/>
      <c r="K91" s="429" t="n"/>
      <c r="L91" s="429" t="n"/>
      <c r="M91" s="429" t="n"/>
      <c r="N91" s="429" t="n"/>
      <c r="O91" s="429" t="n"/>
      <c r="P91" s="429" t="n"/>
      <c r="Q91" s="429" t="n"/>
      <c r="R91" s="429" t="n"/>
      <c r="S91" s="429" t="n"/>
      <c r="T91" s="429" t="n"/>
      <c r="U91" s="429" t="n"/>
      <c r="V91" s="429" t="n"/>
      <c r="W91" s="429" t="n"/>
      <c r="X91" s="429" t="n"/>
      <c r="Y91" s="429" t="n"/>
      <c r="Z91" s="429" t="n"/>
      <c r="AA91" s="429" t="n"/>
      <c r="AB91" s="429" t="n"/>
      <c r="AC91" s="429" t="n"/>
      <c r="AD91" s="429" t="n"/>
    </row>
    <row r="92" ht="27.75" customFormat="1" customHeight="1" s="605">
      <c r="A92" s="613" t="inlineStr">
        <is>
          <t>GR148</t>
        </is>
      </c>
      <c r="B92" s="606" t="n"/>
      <c r="C92" s="606" t="n"/>
      <c r="D92" s="606" t="n"/>
      <c r="E92" s="606" t="n"/>
      <c r="F92" s="606" t="n"/>
      <c r="G92" s="606" t="n"/>
      <c r="H92" s="429" t="n"/>
      <c r="I92" s="429" t="n"/>
      <c r="J92" s="429" t="n"/>
      <c r="K92" s="429" t="n"/>
      <c r="L92" s="429" t="n"/>
      <c r="M92" s="429" t="n"/>
      <c r="N92" s="429" t="n"/>
      <c r="O92" s="429" t="n"/>
      <c r="P92" s="429" t="n"/>
      <c r="Q92" s="429" t="n"/>
      <c r="R92" s="429" t="n"/>
      <c r="S92" s="429" t="n"/>
      <c r="T92" s="429" t="n"/>
      <c r="U92" s="429" t="n"/>
      <c r="V92" s="429" t="n"/>
      <c r="W92" s="429" t="n"/>
      <c r="X92" s="429" t="n"/>
      <c r="Y92" s="429" t="n"/>
      <c r="Z92" s="429" t="n"/>
      <c r="AA92" s="429" t="n"/>
      <c r="AB92" s="429" t="n"/>
      <c r="AC92" s="429" t="n"/>
      <c r="AD92" s="429" t="n"/>
    </row>
    <row r="93" ht="27.75" customFormat="1" customHeight="1" s="605">
      <c r="A93" s="613" t="inlineStr">
        <is>
          <t>GR149</t>
        </is>
      </c>
      <c r="B93" s="606" t="n"/>
      <c r="C93" s="606" t="n"/>
      <c r="D93" s="606" t="n"/>
      <c r="E93" s="606" t="n"/>
      <c r="F93" s="606" t="n"/>
      <c r="G93" s="606" t="n"/>
      <c r="H93" s="429" t="n"/>
      <c r="I93" s="429" t="n"/>
      <c r="J93" s="429" t="n"/>
      <c r="K93" s="429" t="n"/>
      <c r="L93" s="429" t="n"/>
      <c r="M93" s="429" t="n"/>
      <c r="N93" s="429" t="n"/>
      <c r="O93" s="429" t="n"/>
      <c r="P93" s="429" t="n"/>
      <c r="Q93" s="429" t="n"/>
      <c r="R93" s="429" t="n"/>
      <c r="S93" s="429" t="n"/>
      <c r="T93" s="429" t="n"/>
      <c r="U93" s="429" t="n"/>
      <c r="V93" s="429" t="n"/>
      <c r="W93" s="429" t="n"/>
      <c r="X93" s="429" t="n"/>
      <c r="Y93" s="429" t="n"/>
      <c r="Z93" s="429" t="n"/>
      <c r="AA93" s="429" t="n"/>
      <c r="AB93" s="429" t="n"/>
      <c r="AC93" s="429" t="n"/>
      <c r="AD93" s="429" t="n"/>
    </row>
    <row r="94" ht="27.75" customFormat="1" customHeight="1" s="605">
      <c r="A94" s="613" t="inlineStr">
        <is>
          <t>GR150</t>
        </is>
      </c>
      <c r="B94" s="606" t="n"/>
      <c r="C94" s="606" t="n"/>
      <c r="D94" s="606" t="n"/>
      <c r="E94" s="606" t="n"/>
      <c r="F94" s="606" t="n"/>
      <c r="G94" s="606" t="n"/>
      <c r="H94" s="429" t="n"/>
      <c r="I94" s="429" t="n"/>
      <c r="J94" s="429" t="n"/>
      <c r="K94" s="429" t="n"/>
      <c r="L94" s="429" t="n"/>
      <c r="M94" s="429" t="n"/>
      <c r="N94" s="429" t="n"/>
      <c r="O94" s="429" t="n"/>
      <c r="P94" s="429" t="n"/>
      <c r="Q94" s="429" t="n"/>
      <c r="R94" s="429" t="n"/>
      <c r="S94" s="429" t="n"/>
      <c r="T94" s="429" t="n"/>
      <c r="U94" s="429" t="n"/>
      <c r="V94" s="429" t="n"/>
      <c r="W94" s="429" t="n"/>
      <c r="X94" s="429" t="n"/>
      <c r="Y94" s="429" t="n"/>
      <c r="Z94" s="429" t="n"/>
      <c r="AA94" s="429" t="n"/>
      <c r="AB94" s="429" t="n"/>
      <c r="AC94" s="429" t="n"/>
      <c r="AD94" s="429" t="n"/>
    </row>
    <row r="95" ht="27.75" customFormat="1" customHeight="1" s="605">
      <c r="A95" s="613" t="inlineStr">
        <is>
          <t>GR151</t>
        </is>
      </c>
      <c r="B95" s="606" t="n"/>
      <c r="C95" s="606" t="n"/>
      <c r="D95" s="606" t="n"/>
      <c r="E95" s="606" t="n"/>
      <c r="F95" s="606" t="n"/>
      <c r="G95" s="606" t="n"/>
      <c r="H95" s="429" t="n"/>
      <c r="I95" s="429" t="n"/>
      <c r="J95" s="429" t="n"/>
      <c r="K95" s="429" t="n"/>
      <c r="L95" s="429" t="n"/>
      <c r="M95" s="429" t="n"/>
      <c r="N95" s="429" t="n"/>
      <c r="O95" s="429" t="n"/>
      <c r="P95" s="429" t="n"/>
      <c r="Q95" s="429" t="n"/>
      <c r="R95" s="429" t="n"/>
      <c r="S95" s="429" t="n"/>
      <c r="T95" s="429" t="n"/>
      <c r="U95" s="429" t="n"/>
      <c r="V95" s="429" t="n"/>
      <c r="W95" s="429" t="n"/>
      <c r="X95" s="429" t="n"/>
      <c r="Y95" s="429" t="n"/>
      <c r="Z95" s="429" t="n"/>
      <c r="AA95" s="429" t="n"/>
      <c r="AB95" s="429" t="n"/>
      <c r="AC95" s="429" t="n"/>
      <c r="AD95" s="429" t="n"/>
    </row>
    <row r="96" ht="27.75" customFormat="1" customHeight="1" s="605">
      <c r="A96" s="613" t="inlineStr">
        <is>
          <t>GR152</t>
        </is>
      </c>
      <c r="B96" s="606" t="n"/>
      <c r="C96" s="606" t="n"/>
      <c r="D96" s="606" t="n"/>
      <c r="E96" s="606" t="n"/>
      <c r="F96" s="606" t="n"/>
      <c r="G96" s="606" t="n"/>
      <c r="H96" s="429" t="n"/>
      <c r="I96" s="429" t="n"/>
      <c r="J96" s="429" t="n"/>
      <c r="K96" s="429" t="n"/>
      <c r="L96" s="429" t="n"/>
      <c r="M96" s="429" t="n"/>
      <c r="N96" s="429" t="n"/>
      <c r="O96" s="429" t="n"/>
      <c r="P96" s="429" t="n"/>
      <c r="Q96" s="429" t="n"/>
      <c r="R96" s="429" t="n"/>
      <c r="S96" s="429" t="n"/>
      <c r="T96" s="429" t="n"/>
      <c r="U96" s="429" t="n"/>
      <c r="V96" s="429" t="n"/>
      <c r="W96" s="429" t="n"/>
      <c r="X96" s="429" t="n"/>
      <c r="Y96" s="429" t="n"/>
      <c r="Z96" s="429" t="n"/>
      <c r="AA96" s="429" t="n"/>
      <c r="AB96" s="429" t="n"/>
      <c r="AC96" s="429" t="n"/>
      <c r="AD96" s="429" t="n"/>
    </row>
    <row r="97" ht="27.75" customFormat="1" customHeight="1" s="605">
      <c r="A97" s="613" t="inlineStr">
        <is>
          <t>GR153</t>
        </is>
      </c>
      <c r="B97" s="606" t="n"/>
      <c r="C97" s="606" t="n"/>
      <c r="D97" s="606" t="n"/>
      <c r="E97" s="606" t="n"/>
      <c r="F97" s="606" t="n"/>
      <c r="G97" s="606" t="n"/>
      <c r="H97" s="429" t="n"/>
      <c r="I97" s="429" t="n"/>
      <c r="J97" s="429" t="n"/>
      <c r="K97" s="429" t="n"/>
      <c r="L97" s="429" t="n"/>
      <c r="M97" s="429" t="n"/>
      <c r="N97" s="429" t="n"/>
      <c r="O97" s="429" t="n"/>
      <c r="P97" s="429" t="n"/>
      <c r="Q97" s="429" t="n"/>
      <c r="R97" s="429" t="n"/>
      <c r="S97" s="429" t="n"/>
      <c r="T97" s="429" t="n"/>
      <c r="U97" s="429" t="n"/>
      <c r="V97" s="429" t="n"/>
      <c r="W97" s="429" t="n"/>
      <c r="X97" s="429" t="n"/>
      <c r="Y97" s="429" t="n"/>
      <c r="Z97" s="429" t="n"/>
      <c r="AA97" s="429" t="n"/>
      <c r="AB97" s="429" t="n"/>
      <c r="AC97" s="429" t="n"/>
      <c r="AD97" s="429" t="n"/>
    </row>
    <row r="98" ht="27.75" customFormat="1" customHeight="1" s="605">
      <c r="A98" s="613" t="inlineStr">
        <is>
          <t>GR154</t>
        </is>
      </c>
      <c r="B98" s="606" t="n"/>
      <c r="C98" s="606" t="n"/>
      <c r="D98" s="606" t="n"/>
      <c r="E98" s="606" t="n"/>
      <c r="F98" s="606" t="n"/>
      <c r="G98" s="606" t="n"/>
      <c r="H98" s="429" t="n"/>
      <c r="I98" s="429" t="n"/>
      <c r="J98" s="429" t="n"/>
      <c r="K98" s="429" t="n"/>
      <c r="L98" s="429" t="n"/>
      <c r="M98" s="429" t="n"/>
      <c r="N98" s="429" t="n"/>
      <c r="O98" s="429" t="n"/>
      <c r="P98" s="429" t="n"/>
      <c r="Q98" s="429" t="n"/>
      <c r="R98" s="429" t="n"/>
      <c r="S98" s="429" t="n"/>
      <c r="T98" s="429" t="n"/>
      <c r="U98" s="429" t="n"/>
      <c r="V98" s="429" t="n"/>
      <c r="W98" s="429" t="n"/>
      <c r="X98" s="429" t="n"/>
      <c r="Y98" s="429" t="n"/>
      <c r="Z98" s="429" t="n"/>
      <c r="AA98" s="429" t="n"/>
      <c r="AB98" s="429" t="n"/>
      <c r="AC98" s="429" t="n"/>
      <c r="AD98" s="429" t="n"/>
    </row>
    <row r="99" ht="27.75" customFormat="1" customHeight="1" s="605">
      <c r="A99" s="613" t="inlineStr">
        <is>
          <t>GR155</t>
        </is>
      </c>
      <c r="B99" s="606" t="n"/>
      <c r="C99" s="606" t="n"/>
      <c r="D99" s="606" t="n"/>
      <c r="E99" s="606" t="n"/>
      <c r="F99" s="606" t="n"/>
      <c r="G99" s="606" t="n"/>
      <c r="H99" s="429" t="n"/>
      <c r="I99" s="429" t="n"/>
      <c r="J99" s="429" t="n"/>
      <c r="K99" s="429" t="n"/>
      <c r="L99" s="429" t="n"/>
      <c r="M99" s="429" t="n"/>
      <c r="N99" s="429" t="n"/>
      <c r="O99" s="429" t="n"/>
      <c r="P99" s="429" t="n"/>
      <c r="Q99" s="429" t="n"/>
      <c r="R99" s="429" t="n"/>
      <c r="S99" s="429" t="n"/>
      <c r="T99" s="429" t="n"/>
      <c r="U99" s="429" t="n"/>
      <c r="V99" s="429" t="n"/>
      <c r="W99" s="429" t="n"/>
      <c r="X99" s="429" t="n"/>
      <c r="Y99" s="429" t="n"/>
      <c r="Z99" s="429" t="n"/>
      <c r="AA99" s="429" t="n"/>
      <c r="AB99" s="429" t="n"/>
      <c r="AC99" s="429" t="n"/>
      <c r="AD99" s="429" t="n"/>
    </row>
    <row r="100" ht="27.75" customFormat="1" customHeight="1" s="605">
      <c r="A100" s="613" t="inlineStr">
        <is>
          <t>GR156</t>
        </is>
      </c>
      <c r="B100" s="606" t="n"/>
      <c r="C100" s="606" t="n"/>
      <c r="D100" s="606" t="n"/>
      <c r="E100" s="606" t="n"/>
      <c r="F100" s="606" t="n"/>
      <c r="G100" s="606" t="n"/>
      <c r="H100" s="429" t="n"/>
      <c r="I100" s="429" t="n"/>
      <c r="J100" s="429" t="n"/>
      <c r="K100" s="429" t="n"/>
      <c r="L100" s="429" t="n"/>
      <c r="M100" s="429" t="n"/>
      <c r="N100" s="429" t="n"/>
      <c r="O100" s="429" t="n"/>
      <c r="P100" s="429" t="n"/>
      <c r="Q100" s="429" t="n"/>
      <c r="R100" s="429" t="n"/>
      <c r="S100" s="429" t="n"/>
      <c r="T100" s="429" t="n"/>
      <c r="U100" s="429" t="n"/>
      <c r="V100" s="429" t="n"/>
      <c r="W100" s="429" t="n"/>
      <c r="X100" s="429" t="n"/>
      <c r="Y100" s="429" t="n"/>
      <c r="Z100" s="429" t="n"/>
      <c r="AA100" s="429" t="n"/>
      <c r="AB100" s="429" t="n"/>
      <c r="AC100" s="429" t="n"/>
      <c r="AD100" s="429" t="n"/>
    </row>
    <row r="101" ht="27.75" customFormat="1" customHeight="1" s="605">
      <c r="A101" s="613" t="inlineStr">
        <is>
          <t>GR157</t>
        </is>
      </c>
      <c r="B101" s="606" t="n"/>
      <c r="C101" s="606" t="n"/>
      <c r="D101" s="606" t="n"/>
      <c r="E101" s="606" t="n"/>
      <c r="F101" s="606" t="n"/>
      <c r="G101" s="606" t="n"/>
      <c r="H101" s="429" t="n"/>
      <c r="I101" s="429" t="n"/>
      <c r="J101" s="429" t="n"/>
      <c r="K101" s="429" t="n"/>
      <c r="L101" s="429" t="n"/>
      <c r="M101" s="429" t="n"/>
      <c r="N101" s="429" t="n"/>
      <c r="O101" s="429" t="n"/>
      <c r="P101" s="429" t="n"/>
      <c r="Q101" s="429" t="n"/>
      <c r="R101" s="429" t="n"/>
      <c r="S101" s="429" t="n"/>
      <c r="T101" s="429" t="n"/>
      <c r="U101" s="429" t="n"/>
      <c r="V101" s="429" t="n"/>
      <c r="W101" s="429" t="n"/>
      <c r="X101" s="429" t="n"/>
      <c r="Y101" s="429" t="n"/>
      <c r="Z101" s="429" t="n"/>
      <c r="AA101" s="429" t="n"/>
      <c r="AB101" s="429" t="n"/>
      <c r="AC101" s="429" t="n"/>
      <c r="AD101" s="429" t="n"/>
    </row>
    <row r="102" ht="27.75" customFormat="1" customHeight="1" s="605">
      <c r="A102" s="613" t="inlineStr">
        <is>
          <t>GR158</t>
        </is>
      </c>
      <c r="B102" s="606" t="n"/>
      <c r="C102" s="606" t="n"/>
      <c r="D102" s="606" t="n"/>
      <c r="E102" s="606" t="n"/>
      <c r="F102" s="606" t="n"/>
      <c r="G102" s="606" t="n"/>
      <c r="H102" s="429" t="n"/>
      <c r="I102" s="429" t="n"/>
      <c r="J102" s="429" t="n"/>
      <c r="K102" s="429" t="n"/>
      <c r="L102" s="429" t="n"/>
      <c r="M102" s="429" t="n"/>
      <c r="N102" s="429" t="n"/>
      <c r="O102" s="429" t="n"/>
      <c r="P102" s="429" t="n"/>
      <c r="Q102" s="429" t="n"/>
      <c r="R102" s="429" t="n"/>
      <c r="S102" s="429" t="n"/>
      <c r="T102" s="429" t="n"/>
      <c r="U102" s="429" t="n"/>
      <c r="V102" s="429" t="n"/>
      <c r="W102" s="429" t="n"/>
      <c r="X102" s="429" t="n"/>
      <c r="Y102" s="429" t="n"/>
      <c r="Z102" s="429" t="n"/>
      <c r="AA102" s="429" t="n"/>
      <c r="AB102" s="429" t="n"/>
      <c r="AC102" s="429" t="n"/>
      <c r="AD102" s="429" t="n"/>
    </row>
    <row r="103" ht="27.75" customFormat="1" customHeight="1" s="605">
      <c r="A103" s="613" t="inlineStr">
        <is>
          <t>GR159</t>
        </is>
      </c>
      <c r="B103" s="606" t="n"/>
      <c r="C103" s="606" t="n"/>
      <c r="D103" s="606" t="n"/>
      <c r="E103" s="606" t="n"/>
      <c r="F103" s="606" t="n"/>
      <c r="G103" s="606" t="n"/>
      <c r="H103" s="429" t="n"/>
      <c r="I103" s="429" t="n"/>
      <c r="J103" s="429" t="n"/>
      <c r="K103" s="429" t="n"/>
      <c r="L103" s="429" t="n"/>
      <c r="M103" s="429" t="n"/>
      <c r="N103" s="429" t="n"/>
      <c r="O103" s="429" t="n"/>
      <c r="P103" s="429" t="n"/>
      <c r="Q103" s="429" t="n"/>
      <c r="R103" s="429" t="n"/>
      <c r="S103" s="429" t="n"/>
      <c r="T103" s="429" t="n"/>
      <c r="U103" s="429" t="n"/>
      <c r="V103" s="429" t="n"/>
      <c r="W103" s="429" t="n"/>
      <c r="X103" s="429" t="n"/>
      <c r="Y103" s="429" t="n"/>
      <c r="Z103" s="429" t="n"/>
      <c r="AA103" s="429" t="n"/>
      <c r="AB103" s="429" t="n"/>
      <c r="AC103" s="429" t="n"/>
      <c r="AD103" s="429" t="n"/>
    </row>
    <row r="104" ht="27.75" customFormat="1" customHeight="1" s="605">
      <c r="A104" s="613" t="inlineStr">
        <is>
          <t>GR160</t>
        </is>
      </c>
      <c r="B104" s="606" t="n"/>
      <c r="C104" s="606" t="n"/>
      <c r="D104" s="606" t="n"/>
      <c r="E104" s="606" t="n"/>
      <c r="F104" s="606" t="n"/>
      <c r="G104" s="606" t="n"/>
      <c r="H104" s="429" t="n"/>
      <c r="I104" s="429" t="n"/>
      <c r="J104" s="429" t="n"/>
      <c r="K104" s="429" t="n"/>
      <c r="L104" s="429" t="n"/>
      <c r="M104" s="429" t="n"/>
      <c r="N104" s="429" t="n"/>
      <c r="O104" s="429" t="n"/>
      <c r="P104" s="429" t="n"/>
      <c r="Q104" s="429" t="n"/>
      <c r="R104" s="429" t="n"/>
      <c r="S104" s="429" t="n"/>
      <c r="T104" s="429" t="n"/>
      <c r="U104" s="429" t="n"/>
      <c r="V104" s="429" t="n"/>
      <c r="W104" s="429" t="n"/>
      <c r="X104" s="429" t="n"/>
      <c r="Y104" s="429" t="n"/>
      <c r="Z104" s="429" t="n"/>
      <c r="AA104" s="429" t="n"/>
      <c r="AB104" s="429" t="n"/>
      <c r="AC104" s="429" t="n"/>
      <c r="AD104" s="429" t="n"/>
    </row>
    <row r="105" ht="27.75" customFormat="1" customHeight="1" s="605">
      <c r="A105" s="613" t="inlineStr">
        <is>
          <t>GR161</t>
        </is>
      </c>
      <c r="B105" s="606" t="n"/>
      <c r="C105" s="606" t="n"/>
      <c r="D105" s="606" t="n"/>
      <c r="E105" s="606" t="n"/>
      <c r="F105" s="606" t="n"/>
      <c r="G105" s="606" t="n"/>
      <c r="H105" s="429" t="n"/>
      <c r="I105" s="429" t="n"/>
      <c r="J105" s="429" t="n"/>
      <c r="K105" s="429" t="n"/>
      <c r="L105" s="429" t="n"/>
      <c r="M105" s="429" t="n"/>
      <c r="N105" s="429" t="n"/>
      <c r="O105" s="429" t="n"/>
      <c r="P105" s="429" t="n"/>
      <c r="Q105" s="429" t="n"/>
      <c r="R105" s="429" t="n"/>
      <c r="S105" s="429" t="n"/>
      <c r="T105" s="429" t="n"/>
      <c r="U105" s="429" t="n"/>
      <c r="V105" s="429" t="n"/>
      <c r="W105" s="429" t="n"/>
      <c r="X105" s="429" t="n"/>
      <c r="Y105" s="429" t="n"/>
      <c r="Z105" s="429" t="n"/>
      <c r="AA105" s="429" t="n"/>
      <c r="AB105" s="429" t="n"/>
      <c r="AC105" s="429" t="n"/>
      <c r="AD105" s="429" t="n"/>
    </row>
    <row r="106" ht="27.75" customFormat="1" customHeight="1" s="605">
      <c r="A106" s="613" t="inlineStr">
        <is>
          <t>GR162</t>
        </is>
      </c>
      <c r="B106" s="606" t="n"/>
      <c r="C106" s="606" t="n"/>
      <c r="D106" s="606" t="n"/>
      <c r="E106" s="606" t="n"/>
      <c r="F106" s="606" t="n"/>
      <c r="G106" s="606" t="n"/>
      <c r="H106" s="429" t="n"/>
      <c r="I106" s="429" t="n"/>
      <c r="J106" s="429" t="n"/>
      <c r="K106" s="429" t="n"/>
      <c r="L106" s="429" t="n"/>
      <c r="M106" s="429" t="n"/>
      <c r="N106" s="429" t="n"/>
      <c r="O106" s="429" t="n"/>
      <c r="P106" s="429" t="n"/>
      <c r="Q106" s="429" t="n"/>
      <c r="R106" s="429" t="n"/>
      <c r="S106" s="429" t="n"/>
      <c r="T106" s="429" t="n"/>
      <c r="U106" s="429" t="n"/>
      <c r="V106" s="429" t="n"/>
      <c r="W106" s="429" t="n"/>
      <c r="X106" s="429" t="n"/>
      <c r="Y106" s="429" t="n"/>
      <c r="Z106" s="429" t="n"/>
      <c r="AA106" s="429" t="n"/>
      <c r="AB106" s="429" t="n"/>
      <c r="AC106" s="429" t="n"/>
      <c r="AD106" s="429" t="n"/>
    </row>
    <row r="107" ht="27.75" customFormat="1" customHeight="1" s="605">
      <c r="A107" s="613" t="inlineStr">
        <is>
          <t>GR163</t>
        </is>
      </c>
      <c r="B107" s="606" t="n"/>
      <c r="C107" s="606" t="n"/>
      <c r="D107" s="606" t="n"/>
      <c r="E107" s="606" t="n"/>
      <c r="F107" s="606" t="n"/>
      <c r="G107" s="606" t="n"/>
      <c r="H107" s="429" t="n"/>
      <c r="I107" s="429" t="n"/>
      <c r="J107" s="429" t="n"/>
      <c r="K107" s="429" t="n"/>
      <c r="L107" s="429" t="n"/>
      <c r="M107" s="429" t="n"/>
      <c r="N107" s="429" t="n"/>
      <c r="O107" s="429" t="n"/>
      <c r="P107" s="429" t="n"/>
      <c r="Q107" s="429" t="n"/>
      <c r="R107" s="429" t="n"/>
      <c r="S107" s="429" t="n"/>
      <c r="T107" s="429" t="n"/>
      <c r="U107" s="429" t="n"/>
      <c r="V107" s="429" t="n"/>
      <c r="W107" s="429" t="n"/>
      <c r="X107" s="429" t="n"/>
      <c r="Y107" s="429" t="n"/>
      <c r="Z107" s="429" t="n"/>
      <c r="AA107" s="429" t="n"/>
      <c r="AB107" s="429" t="n"/>
      <c r="AC107" s="429" t="n"/>
      <c r="AD107" s="429" t="n"/>
    </row>
    <row r="108" ht="27.75" customFormat="1" customHeight="1" s="605">
      <c r="A108" s="613" t="inlineStr">
        <is>
          <t>GR164</t>
        </is>
      </c>
      <c r="B108" s="606" t="n"/>
      <c r="C108" s="606" t="n"/>
      <c r="D108" s="606" t="n"/>
      <c r="E108" s="606" t="n"/>
      <c r="F108" s="606" t="n"/>
      <c r="G108" s="606" t="n"/>
      <c r="H108" s="429" t="n"/>
      <c r="I108" s="429" t="n"/>
      <c r="J108" s="429" t="n"/>
      <c r="K108" s="429" t="n"/>
      <c r="L108" s="429" t="n"/>
      <c r="M108" s="429" t="n"/>
      <c r="N108" s="429" t="n"/>
      <c r="O108" s="429" t="n"/>
      <c r="P108" s="429" t="n"/>
      <c r="Q108" s="429" t="n"/>
      <c r="R108" s="429" t="n"/>
      <c r="S108" s="429" t="n"/>
      <c r="T108" s="429" t="n"/>
      <c r="U108" s="429" t="n"/>
      <c r="V108" s="429" t="n"/>
      <c r="W108" s="429" t="n"/>
      <c r="X108" s="429" t="n"/>
      <c r="Y108" s="429" t="n"/>
      <c r="Z108" s="429" t="n"/>
      <c r="AA108" s="429" t="n"/>
      <c r="AB108" s="429" t="n"/>
      <c r="AC108" s="429" t="n"/>
      <c r="AD108" s="429" t="n"/>
    </row>
    <row r="109" ht="27.75" customFormat="1" customHeight="1" s="605">
      <c r="A109" s="613" t="inlineStr">
        <is>
          <t>GR165</t>
        </is>
      </c>
      <c r="B109" s="606" t="n"/>
      <c r="C109" s="606" t="n"/>
      <c r="D109" s="606" t="n"/>
      <c r="E109" s="606" t="n"/>
      <c r="F109" s="606" t="n"/>
      <c r="G109" s="606" t="n"/>
      <c r="H109" s="429" t="n"/>
      <c r="I109" s="429" t="n"/>
      <c r="J109" s="429" t="n"/>
      <c r="K109" s="429" t="n"/>
      <c r="L109" s="429" t="n"/>
      <c r="M109" s="429" t="n"/>
      <c r="N109" s="429" t="n"/>
      <c r="O109" s="429" t="n"/>
      <c r="P109" s="429" t="n"/>
      <c r="Q109" s="429" t="n"/>
      <c r="R109" s="429" t="n"/>
      <c r="S109" s="429" t="n"/>
      <c r="T109" s="429" t="n"/>
      <c r="U109" s="429" t="n"/>
      <c r="V109" s="429" t="n"/>
      <c r="W109" s="429" t="n"/>
      <c r="X109" s="429" t="n"/>
      <c r="Y109" s="429" t="n"/>
      <c r="Z109" s="429" t="n"/>
      <c r="AA109" s="429" t="n"/>
      <c r="AB109" s="429" t="n"/>
      <c r="AC109" s="429" t="n"/>
      <c r="AD109" s="429" t="n"/>
    </row>
    <row r="110" ht="27.75" customFormat="1" customHeight="1" s="605">
      <c r="A110" s="613" t="inlineStr">
        <is>
          <t>GR166</t>
        </is>
      </c>
      <c r="B110" s="606" t="n"/>
      <c r="C110" s="606" t="n"/>
      <c r="D110" s="606" t="n"/>
      <c r="E110" s="606" t="n"/>
      <c r="F110" s="606" t="n"/>
      <c r="G110" s="606" t="n"/>
      <c r="H110" s="429" t="n"/>
      <c r="I110" s="429" t="n"/>
      <c r="J110" s="429" t="n"/>
      <c r="K110" s="429" t="n"/>
      <c r="L110" s="429" t="n"/>
      <c r="M110" s="429" t="n"/>
      <c r="N110" s="429" t="n"/>
      <c r="O110" s="429" t="n"/>
      <c r="P110" s="429" t="n"/>
      <c r="Q110" s="429" t="n"/>
      <c r="R110" s="429" t="n"/>
      <c r="S110" s="429" t="n"/>
      <c r="T110" s="429" t="n"/>
      <c r="U110" s="429" t="n"/>
      <c r="V110" s="429" t="n"/>
      <c r="W110" s="429" t="n"/>
      <c r="X110" s="429" t="n"/>
      <c r="Y110" s="429" t="n"/>
      <c r="Z110" s="429" t="n"/>
      <c r="AA110" s="429" t="n"/>
      <c r="AB110" s="429" t="n"/>
      <c r="AC110" s="429" t="n"/>
      <c r="AD110" s="429" t="n"/>
    </row>
    <row r="111" ht="27.75" customFormat="1" customHeight="1" s="605">
      <c r="A111" s="613" t="inlineStr">
        <is>
          <t>GR167</t>
        </is>
      </c>
      <c r="B111" s="606" t="n"/>
      <c r="C111" s="606" t="n"/>
      <c r="D111" s="606" t="n"/>
      <c r="E111" s="606" t="n"/>
      <c r="F111" s="606" t="n"/>
      <c r="G111" s="606" t="n"/>
      <c r="H111" s="429" t="n"/>
      <c r="I111" s="429" t="n"/>
      <c r="J111" s="429" t="n"/>
      <c r="K111" s="429" t="n"/>
      <c r="L111" s="429" t="n"/>
      <c r="M111" s="429" t="n"/>
      <c r="N111" s="429" t="n"/>
      <c r="O111" s="429" t="n"/>
      <c r="P111" s="429" t="n"/>
      <c r="Q111" s="429" t="n"/>
      <c r="R111" s="429" t="n"/>
      <c r="S111" s="429" t="n"/>
      <c r="T111" s="429" t="n"/>
      <c r="U111" s="429" t="n"/>
      <c r="V111" s="429" t="n"/>
      <c r="W111" s="429" t="n"/>
      <c r="X111" s="429" t="n"/>
      <c r="Y111" s="429" t="n"/>
      <c r="Z111" s="429" t="n"/>
      <c r="AA111" s="429" t="n"/>
      <c r="AB111" s="429" t="n"/>
      <c r="AC111" s="429" t="n"/>
      <c r="AD111" s="429" t="n"/>
    </row>
    <row r="112" ht="27.75" customFormat="1" customHeight="1" s="605">
      <c r="A112" s="613" t="inlineStr">
        <is>
          <t>GR168</t>
        </is>
      </c>
      <c r="B112" s="606" t="n"/>
      <c r="C112" s="606" t="n"/>
      <c r="D112" s="606" t="n"/>
      <c r="E112" s="606" t="n"/>
      <c r="F112" s="606" t="n"/>
      <c r="G112" s="606" t="n"/>
      <c r="H112" s="429" t="n"/>
      <c r="I112" s="429" t="n"/>
      <c r="J112" s="429" t="n"/>
      <c r="K112" s="429" t="n"/>
      <c r="L112" s="429" t="n"/>
      <c r="M112" s="429" t="n"/>
      <c r="N112" s="429" t="n"/>
      <c r="O112" s="429" t="n"/>
      <c r="P112" s="429" t="n"/>
      <c r="Q112" s="429" t="n"/>
      <c r="R112" s="429" t="n"/>
      <c r="S112" s="429" t="n"/>
      <c r="T112" s="429" t="n"/>
      <c r="U112" s="429" t="n"/>
      <c r="V112" s="429" t="n"/>
      <c r="W112" s="429" t="n"/>
      <c r="X112" s="429" t="n"/>
      <c r="Y112" s="429" t="n"/>
      <c r="Z112" s="429" t="n"/>
      <c r="AA112" s="429" t="n"/>
      <c r="AB112" s="429" t="n"/>
      <c r="AC112" s="429" t="n"/>
      <c r="AD112" s="429" t="n"/>
    </row>
    <row r="113" ht="27.75" customFormat="1" customHeight="1" s="605">
      <c r="A113" s="613" t="inlineStr">
        <is>
          <t>GR169</t>
        </is>
      </c>
      <c r="B113" s="606" t="n"/>
      <c r="C113" s="606" t="n"/>
      <c r="D113" s="606" t="n"/>
      <c r="E113" s="606" t="n"/>
      <c r="F113" s="606" t="n"/>
      <c r="G113" s="606" t="n"/>
      <c r="H113" s="429" t="n"/>
      <c r="I113" s="429" t="n"/>
      <c r="J113" s="429" t="n"/>
      <c r="K113" s="429" t="n"/>
      <c r="L113" s="429" t="n"/>
      <c r="M113" s="429" t="n"/>
      <c r="N113" s="429" t="n"/>
      <c r="O113" s="429" t="n"/>
      <c r="P113" s="429" t="n"/>
      <c r="Q113" s="429" t="n"/>
      <c r="R113" s="429" t="n"/>
      <c r="S113" s="429" t="n"/>
      <c r="T113" s="429" t="n"/>
      <c r="U113" s="429" t="n"/>
      <c r="V113" s="429" t="n"/>
      <c r="W113" s="429" t="n"/>
      <c r="X113" s="429" t="n"/>
      <c r="Y113" s="429" t="n"/>
      <c r="Z113" s="429" t="n"/>
      <c r="AA113" s="429" t="n"/>
      <c r="AB113" s="429" t="n"/>
      <c r="AC113" s="429" t="n"/>
      <c r="AD113" s="429" t="n"/>
    </row>
    <row r="114" ht="27.75" customFormat="1" customHeight="1" s="605">
      <c r="A114" s="613" t="inlineStr">
        <is>
          <t>GR170</t>
        </is>
      </c>
      <c r="B114" s="606" t="n"/>
      <c r="C114" s="606" t="n"/>
      <c r="D114" s="606" t="n"/>
      <c r="E114" s="606" t="n"/>
      <c r="F114" s="606" t="n"/>
      <c r="G114" s="606" t="n"/>
      <c r="H114" s="429" t="n"/>
      <c r="I114" s="429" t="n"/>
      <c r="J114" s="429" t="n"/>
      <c r="K114" s="429" t="n"/>
      <c r="L114" s="429" t="n"/>
      <c r="M114" s="429" t="n"/>
      <c r="N114" s="429" t="n"/>
      <c r="O114" s="429" t="n"/>
      <c r="P114" s="429" t="n"/>
      <c r="Q114" s="429" t="n"/>
      <c r="R114" s="429" t="n"/>
      <c r="S114" s="429" t="n"/>
      <c r="T114" s="429" t="n"/>
      <c r="U114" s="429" t="n"/>
      <c r="V114" s="429" t="n"/>
      <c r="W114" s="429" t="n"/>
      <c r="X114" s="429" t="n"/>
      <c r="Y114" s="429" t="n"/>
      <c r="Z114" s="429" t="n"/>
      <c r="AA114" s="429" t="n"/>
      <c r="AB114" s="429" t="n"/>
      <c r="AC114" s="429" t="n"/>
      <c r="AD114" s="429" t="n"/>
    </row>
    <row r="115" ht="27.75" customFormat="1" customHeight="1" s="605">
      <c r="A115" s="613" t="inlineStr">
        <is>
          <t>GR171</t>
        </is>
      </c>
      <c r="B115" s="606" t="n"/>
      <c r="C115" s="606" t="n"/>
      <c r="D115" s="606" t="n"/>
      <c r="E115" s="606" t="n"/>
      <c r="F115" s="606" t="n"/>
      <c r="G115" s="606" t="n"/>
      <c r="H115" s="429" t="n"/>
      <c r="I115" s="429" t="n"/>
      <c r="J115" s="429" t="n"/>
      <c r="K115" s="429" t="n"/>
      <c r="L115" s="429" t="n"/>
      <c r="M115" s="429" t="n"/>
      <c r="N115" s="429" t="n"/>
      <c r="O115" s="429" t="n"/>
      <c r="P115" s="429" t="n"/>
      <c r="Q115" s="429" t="n"/>
      <c r="R115" s="429" t="n"/>
      <c r="S115" s="429" t="n"/>
      <c r="T115" s="429" t="n"/>
      <c r="U115" s="429" t="n"/>
      <c r="V115" s="429" t="n"/>
      <c r="W115" s="429" t="n"/>
      <c r="X115" s="429" t="n"/>
      <c r="Y115" s="429" t="n"/>
      <c r="Z115" s="429" t="n"/>
      <c r="AA115" s="429" t="n"/>
      <c r="AB115" s="429" t="n"/>
      <c r="AC115" s="429" t="n"/>
      <c r="AD115" s="429" t="n"/>
    </row>
    <row r="116" ht="28.5" customFormat="1" customHeight="1" s="607">
      <c r="A116" s="613" t="inlineStr">
        <is>
          <t>GR172</t>
        </is>
      </c>
      <c r="B116" s="848" t="n"/>
      <c r="C116" s="894" t="n"/>
      <c r="D116" s="894" t="n"/>
      <c r="E116" s="894" t="n"/>
      <c r="F116" s="894" t="n"/>
      <c r="G116" s="895" t="n"/>
      <c r="H116" s="429" t="n"/>
      <c r="I116" s="429" t="n"/>
      <c r="J116" s="429" t="n"/>
      <c r="K116" s="429" t="n"/>
      <c r="L116" s="429" t="n"/>
      <c r="M116" s="429" t="n"/>
      <c r="N116" s="429" t="n"/>
      <c r="O116" s="429" t="n"/>
      <c r="P116" s="429" t="n"/>
      <c r="Q116" s="429" t="n"/>
      <c r="R116" s="429" t="n"/>
      <c r="S116" s="429" t="n"/>
      <c r="T116" s="429" t="n"/>
      <c r="U116" s="429" t="n"/>
      <c r="V116" s="429" t="n"/>
      <c r="W116" s="429" t="n"/>
      <c r="X116" s="429" t="n"/>
      <c r="Y116" s="429" t="n"/>
      <c r="Z116" s="429" t="n"/>
      <c r="AA116" s="429" t="n"/>
      <c r="AB116" s="429" t="n"/>
      <c r="AC116" s="429" t="n"/>
      <c r="AD116" s="4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mAmP9/7wdDVjMZgV4PlBA==" formatRows="1" sort="1" spinCount="100000" hashValue="V3Pz9JSt2f/wFLbK5Lt8Q038+KP1j3P7eguCGDAQREI3Ee6TcKI3IcaKIYTElNXkrRdYH2wWKEPO9BDOsQYEew=="/>
  <mergeCells count="31">
    <mergeCell ref="B10:B14"/>
    <mergeCell ref="A9:A14"/>
    <mergeCell ref="AD9:AD14"/>
    <mergeCell ref="T10:Y12"/>
    <mergeCell ref="R13:R14"/>
    <mergeCell ref="M13:O13"/>
    <mergeCell ref="B116:G116"/>
    <mergeCell ref="H9:O9"/>
    <mergeCell ref="A1:AC1"/>
    <mergeCell ref="P9:P14"/>
    <mergeCell ref="AA9:AA14"/>
    <mergeCell ref="S13:S14"/>
    <mergeCell ref="B9:G9"/>
    <mergeCell ref="AB9:AB14"/>
    <mergeCell ref="H11:H14"/>
    <mergeCell ref="T13:V13"/>
    <mergeCell ref="A15:G15"/>
    <mergeCell ref="Z10:Z14"/>
    <mergeCell ref="D10:D14"/>
    <mergeCell ref="R9:S12"/>
    <mergeCell ref="F10:F14"/>
    <mergeCell ref="Q9:Q14"/>
    <mergeCell ref="J11:O12"/>
    <mergeCell ref="I13:I14"/>
    <mergeCell ref="W13:Y13"/>
    <mergeCell ref="E10:E14"/>
    <mergeCell ref="AC9:AC14"/>
    <mergeCell ref="G10:G14"/>
    <mergeCell ref="T9:Z9"/>
    <mergeCell ref="J13:L13"/>
    <mergeCell ref="C10:C14"/>
  </mergeCells>
  <pageMargins left="0.708333333333333" right="0.708333333333333" top="0.747916666666667" bottom="0.747916666666667" header="0.511811023622047" footer="0.315277777777778"/>
  <pageSetup orientation="landscape" paperSize="9" scale="23" horizontalDpi="300" verticalDpi="300"/>
  <headerFooter>
    <oddHeader/>
    <oddFooter>&amp;R&amp;P</oddFooter>
    <evenHeader/>
    <evenFooter/>
    <firstHeader/>
    <firstFooter/>
  </headerFooter>
  <rowBreaks count="1" manualBreakCount="1">
    <brk id="58" min="0" max="16383" man="1"/>
  </rowBreak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M31"/>
  <sheetViews>
    <sheetView view="pageBreakPreview" zoomScale="60" zoomScaleNormal="70" workbookViewId="0">
      <selection activeCell="AA11" sqref="AA11:AB31"/>
    </sheetView>
  </sheetViews>
  <sheetFormatPr baseColWidth="10" defaultColWidth="10" defaultRowHeight="20.25" customHeight="1"/>
  <cols>
    <col collapsed="1" width="11.7265625" customWidth="1" style="614" min="1" max="1"/>
    <col collapsed="1" width="19.1796875" customWidth="1" style="614" min="2" max="2"/>
    <col collapsed="1" width="20.90625" customWidth="1" style="614" min="3" max="3"/>
    <col collapsed="1" width="12.81640625" customWidth="1" style="614" min="4" max="26"/>
    <col collapsed="1" width="14.90625" customWidth="1" style="614" min="27" max="27"/>
    <col collapsed="1" width="10" customWidth="1" style="614" min="28" max="16384"/>
  </cols>
  <sheetData>
    <row r="1" ht="30.75" customHeight="1" s="885">
      <c r="A1" s="858" t="inlineStr">
        <is>
          <t xml:space="preserve">20 PLUS GRANDES EXPOSITIONS DU PORTEFEUILLE BANCAIRE ET DE NEGOCIATION PAR CATEGORIES D'ECHEANCES DES RISQUES </t>
        </is>
      </c>
      <c r="AA1" s="1012" t="n"/>
      <c r="AB1" s="1012" t="inlineStr">
        <is>
          <t>EP31</t>
        </is>
      </c>
    </row>
    <row r="2" ht="31.5" customFormat="1" customHeight="1" s="616">
      <c r="D2" s="617" t="n"/>
      <c r="E2" s="618" t="n"/>
      <c r="F2" s="1013" t="n"/>
      <c r="G2" s="1013" t="n"/>
      <c r="H2" s="1013" t="n"/>
      <c r="I2" s="1013" t="n"/>
      <c r="J2" s="1013" t="n"/>
      <c r="K2" s="1013" t="n"/>
      <c r="L2" s="1014" t="n"/>
      <c r="M2" s="1013" t="n"/>
      <c r="N2" s="1013" t="n"/>
      <c r="O2" s="434" t="n"/>
      <c r="P2" s="434" t="n"/>
      <c r="Q2" s="434" t="n"/>
      <c r="R2" s="434" t="n"/>
      <c r="S2" s="434" t="n"/>
      <c r="T2" s="434" t="n"/>
      <c r="U2" s="434" t="n"/>
      <c r="V2" s="434" t="n"/>
      <c r="W2" s="434" t="n"/>
      <c r="X2" s="434" t="n"/>
      <c r="Y2" s="434" t="n"/>
      <c r="Z2" s="434" t="n"/>
      <c r="AA2" s="434" t="n"/>
      <c r="AB2" s="434" t="n"/>
      <c r="AC2" s="434" t="n"/>
      <c r="AD2" s="434" t="n"/>
      <c r="AE2" s="434" t="n"/>
      <c r="AF2" s="434" t="n"/>
      <c r="AG2" s="434" t="n"/>
      <c r="AH2" s="434" t="n"/>
      <c r="AI2" s="434" t="n"/>
      <c r="AJ2" s="434" t="n"/>
      <c r="AK2" s="434" t="n"/>
      <c r="AL2" s="434" t="n"/>
      <c r="AM2" s="434" t="n"/>
      <c r="AN2" s="434" t="n"/>
      <c r="AO2" s="434" t="n"/>
      <c r="AP2" s="434" t="n"/>
      <c r="AQ2" s="434" t="n"/>
      <c r="AR2" s="434" t="n"/>
      <c r="AS2" s="434" t="n"/>
      <c r="AT2" s="434" t="n"/>
      <c r="AU2" s="434" t="n"/>
      <c r="AV2" s="434" t="n"/>
      <c r="AW2" s="434" t="n"/>
      <c r="AX2" s="434" t="n"/>
      <c r="AY2" s="434" t="n"/>
      <c r="AZ2" s="434" t="n"/>
      <c r="BA2" s="434" t="n"/>
      <c r="BB2" s="434" t="n"/>
      <c r="BC2" s="434" t="n"/>
      <c r="BD2" s="434" t="n"/>
      <c r="BE2" s="434" t="n"/>
      <c r="BF2" s="434" t="n"/>
      <c r="BG2" s="434" t="n"/>
      <c r="BH2" s="434" t="n"/>
      <c r="BI2" s="434" t="n"/>
      <c r="BJ2" s="434" t="n"/>
      <c r="BK2" s="434" t="n"/>
      <c r="BL2" s="434" t="n"/>
      <c r="BM2" s="434" t="n"/>
      <c r="BN2" s="434" t="n"/>
      <c r="BO2" s="434" t="n"/>
      <c r="BP2" s="434" t="n"/>
      <c r="BQ2" s="434" t="n"/>
      <c r="BR2" s="434" t="n"/>
      <c r="BS2" s="434" t="n"/>
      <c r="BT2" s="434" t="n"/>
      <c r="BU2" s="434" t="n"/>
      <c r="BV2" s="434" t="n"/>
      <c r="BW2" s="434" t="n"/>
      <c r="BX2" s="434" t="n"/>
      <c r="BY2" s="434" t="n"/>
      <c r="BZ2" s="434" t="n"/>
      <c r="CA2" s="434" t="n"/>
      <c r="CB2" s="434" t="n"/>
      <c r="CC2" s="434" t="n"/>
      <c r="CD2" s="434" t="n"/>
      <c r="CE2" s="434" t="n"/>
      <c r="CF2" s="434" t="n"/>
      <c r="CG2" s="434" t="n"/>
      <c r="CH2" s="434" t="n"/>
      <c r="CI2" s="434" t="n"/>
      <c r="CJ2" s="434" t="n"/>
      <c r="CK2" s="434" t="n"/>
      <c r="CL2" s="434" t="n"/>
      <c r="CM2" s="434" t="n"/>
      <c r="CN2" s="434" t="n"/>
      <c r="CO2" s="434" t="n"/>
      <c r="CP2" s="434" t="n"/>
      <c r="CQ2" s="434" t="n"/>
      <c r="CR2" s="434" t="n"/>
      <c r="CS2" s="434" t="n"/>
      <c r="CT2" s="434" t="n"/>
      <c r="CU2" s="434" t="n"/>
      <c r="CV2" s="434" t="n"/>
      <c r="CW2" s="434" t="n"/>
      <c r="CX2" s="434" t="n"/>
      <c r="CY2" s="434" t="n"/>
      <c r="CZ2" s="434" t="n"/>
      <c r="DA2" s="434" t="n"/>
      <c r="DB2" s="434" t="n"/>
      <c r="DC2" s="434" t="n"/>
      <c r="DD2" s="434" t="n"/>
      <c r="DE2" s="434" t="n"/>
      <c r="DF2" s="434" t="n"/>
      <c r="DG2" s="434" t="n"/>
      <c r="DH2" s="434" t="n"/>
      <c r="DI2" s="434" t="n"/>
      <c r="DJ2" s="434" t="n"/>
      <c r="DK2" s="434" t="n"/>
      <c r="DL2" s="434" t="n"/>
      <c r="DM2" s="434" t="n"/>
      <c r="DN2" s="434" t="n"/>
      <c r="DO2" s="434" t="n"/>
      <c r="DP2" s="434" t="n"/>
      <c r="DQ2" s="434" t="n"/>
      <c r="DR2" s="434" t="n"/>
      <c r="DS2" s="434" t="n"/>
      <c r="DT2" s="434" t="n"/>
      <c r="DU2" s="434" t="n"/>
      <c r="DV2" s="434" t="n"/>
      <c r="DW2" s="434" t="n"/>
      <c r="DX2" s="434" t="n"/>
      <c r="DY2" s="434" t="n"/>
      <c r="DZ2" s="434" t="n"/>
      <c r="EA2" s="434" t="n"/>
      <c r="EB2" s="434" t="n"/>
      <c r="EC2" s="434" t="n"/>
      <c r="ED2" s="434" t="n"/>
      <c r="EE2" s="434" t="n"/>
      <c r="EF2" s="434" t="n"/>
      <c r="EG2" s="434" t="n"/>
      <c r="EH2" s="434" t="n"/>
      <c r="EI2" s="434" t="n"/>
      <c r="EJ2" s="434" t="n"/>
      <c r="EK2" s="434" t="n"/>
      <c r="EL2" s="434" t="n"/>
      <c r="EM2" s="434" t="n"/>
      <c r="EN2" s="434" t="n"/>
      <c r="EO2" s="434" t="n"/>
      <c r="EP2" s="434" t="n"/>
      <c r="EQ2" s="434" t="n"/>
      <c r="ER2" s="434" t="n"/>
      <c r="ES2" s="434" t="n"/>
      <c r="ET2" s="434" t="n"/>
      <c r="EU2" s="434" t="n"/>
      <c r="EV2" s="434" t="n"/>
      <c r="EW2" s="434" t="n"/>
      <c r="EX2" s="434" t="n"/>
      <c r="EY2" s="434" t="n"/>
      <c r="EZ2" s="434" t="n"/>
      <c r="FA2" s="434" t="n"/>
      <c r="FB2" s="434" t="n"/>
      <c r="FC2" s="434" t="n"/>
      <c r="FD2" s="434" t="n"/>
      <c r="FE2" s="434" t="n"/>
      <c r="FF2" s="434" t="n"/>
      <c r="FG2" s="434" t="n"/>
      <c r="FH2" s="434" t="n"/>
      <c r="FI2" s="434" t="n"/>
      <c r="FJ2" s="434" t="n"/>
      <c r="FK2" s="434" t="n"/>
      <c r="FL2" s="434" t="n"/>
      <c r="FM2" s="434" t="n"/>
      <c r="FN2" s="434" t="n"/>
      <c r="FO2" s="434" t="n"/>
      <c r="FP2" s="434" t="n"/>
      <c r="FQ2" s="434" t="n"/>
      <c r="FR2" s="434" t="n"/>
      <c r="FS2" s="434" t="n"/>
      <c r="FT2" s="434" t="n"/>
      <c r="FU2" s="434" t="n"/>
      <c r="FV2" s="434" t="n"/>
      <c r="FW2" s="434" t="n"/>
      <c r="FX2" s="434" t="n"/>
      <c r="FY2" s="434" t="n"/>
      <c r="FZ2" s="434" t="n"/>
      <c r="GA2" s="434" t="n"/>
      <c r="GB2" s="434" t="n"/>
      <c r="GC2" s="434" t="n"/>
      <c r="GD2" s="434" t="n"/>
      <c r="GE2" s="434" t="n"/>
      <c r="GF2" s="434" t="n"/>
      <c r="GG2" s="434" t="n"/>
      <c r="GH2" s="434" t="n"/>
      <c r="GI2" s="434" t="n"/>
      <c r="GJ2" s="434" t="n"/>
      <c r="GK2" s="434" t="n"/>
      <c r="GL2" s="434" t="n"/>
      <c r="GM2" s="434" t="n"/>
      <c r="GN2" s="434" t="n"/>
      <c r="GO2" s="434" t="n"/>
      <c r="GP2" s="434" t="n"/>
      <c r="GQ2" s="434" t="n"/>
      <c r="GR2" s="434" t="n"/>
      <c r="GS2" s="434" t="n"/>
      <c r="GT2" s="434" t="n"/>
      <c r="GU2" s="434" t="n"/>
      <c r="GV2" s="434" t="n"/>
      <c r="GW2" s="434" t="n"/>
      <c r="GX2" s="434" t="n"/>
      <c r="GY2" s="434" t="n"/>
      <c r="GZ2" s="434" t="n"/>
      <c r="HA2" s="434" t="n"/>
      <c r="HB2" s="434" t="n"/>
      <c r="HC2" s="434" t="n"/>
      <c r="HD2" s="434" t="n"/>
      <c r="HE2" s="434" t="n"/>
      <c r="HF2" s="434" t="n"/>
      <c r="HG2" s="434" t="n"/>
      <c r="HH2" s="434" t="n"/>
      <c r="HI2" s="434" t="n"/>
      <c r="HJ2" s="434" t="n"/>
      <c r="HK2" s="434" t="n"/>
      <c r="HL2" s="434" t="n"/>
      <c r="HM2" s="434" t="n"/>
      <c r="HN2" s="434" t="n"/>
      <c r="HO2" s="434" t="n"/>
      <c r="HP2" s="434" t="n"/>
      <c r="HQ2" s="434" t="n"/>
      <c r="HR2" s="434" t="n"/>
      <c r="HS2" s="434" t="n"/>
      <c r="HT2" s="434" t="n"/>
      <c r="HU2" s="434" t="n"/>
      <c r="HV2" s="434" t="n"/>
      <c r="HW2" s="434" t="n"/>
      <c r="HX2" s="434" t="n"/>
      <c r="HY2" s="434" t="n"/>
      <c r="HZ2" s="434" t="n"/>
      <c r="IA2" s="434" t="n"/>
      <c r="IB2" s="434" t="n"/>
      <c r="IC2" s="434" t="n"/>
      <c r="ID2" s="434" t="n"/>
      <c r="IE2" s="434" t="n"/>
      <c r="IF2" s="434" t="n"/>
      <c r="IG2" s="434" t="n"/>
      <c r="IH2" s="434" t="n"/>
      <c r="II2" s="434" t="n"/>
      <c r="IJ2" s="434" t="n"/>
      <c r="IK2" s="434" t="n"/>
      <c r="IL2" s="434" t="n"/>
      <c r="IM2" s="434" t="n"/>
      <c r="IN2" s="434" t="n"/>
      <c r="IO2" s="434" t="n"/>
      <c r="IP2" s="434" t="n"/>
      <c r="IQ2" s="434" t="n"/>
      <c r="IR2" s="434" t="n"/>
      <c r="IS2" s="434" t="n"/>
      <c r="IT2" s="434" t="n"/>
      <c r="IU2" s="434" t="n"/>
      <c r="IV2" s="434" t="n"/>
      <c r="IW2" s="434" t="n"/>
      <c r="IX2" s="434" t="n"/>
      <c r="IY2" s="434" t="n"/>
      <c r="IZ2" s="434" t="n"/>
      <c r="JA2" s="434" t="n"/>
      <c r="JB2" s="434" t="n"/>
      <c r="JC2" s="434" t="n"/>
      <c r="JD2" s="434" t="n"/>
      <c r="JE2" s="434" t="n"/>
      <c r="JF2" s="434" t="n"/>
      <c r="JG2" s="434" t="n"/>
      <c r="JH2" s="434" t="n"/>
      <c r="JI2" s="434" t="n"/>
      <c r="JJ2" s="434" t="n"/>
      <c r="JK2" s="434" t="n"/>
      <c r="JL2" s="434" t="n"/>
      <c r="JM2" s="434" t="n"/>
      <c r="JN2" s="434" t="n"/>
      <c r="JO2" s="434" t="n"/>
      <c r="JP2" s="434" t="n"/>
      <c r="JQ2" s="434" t="n"/>
      <c r="JR2" s="434" t="n"/>
      <c r="JS2" s="434" t="n"/>
      <c r="JT2" s="434" t="n"/>
      <c r="JU2" s="434" t="n"/>
      <c r="JV2" s="434" t="n"/>
      <c r="JW2" s="434" t="n"/>
      <c r="JX2" s="434" t="n"/>
      <c r="JY2" s="434" t="n"/>
      <c r="JZ2" s="434" t="n"/>
      <c r="KA2" s="434" t="n"/>
      <c r="KB2" s="434" t="n"/>
      <c r="KC2" s="434" t="n"/>
      <c r="KD2" s="434" t="n"/>
      <c r="KE2" s="434" t="n"/>
      <c r="KF2" s="434" t="n"/>
      <c r="KG2" s="434" t="n"/>
      <c r="KH2" s="434" t="n"/>
      <c r="KI2" s="434" t="n"/>
      <c r="KJ2" s="434" t="n"/>
      <c r="KK2" s="434" t="n"/>
      <c r="KL2" s="434" t="n"/>
      <c r="KM2" s="434" t="n"/>
      <c r="KN2" s="434" t="n"/>
      <c r="KO2" s="434" t="n"/>
      <c r="KP2" s="434" t="n"/>
      <c r="KQ2" s="434" t="n"/>
      <c r="KR2" s="434" t="n"/>
      <c r="KS2" s="434" t="n"/>
      <c r="KT2" s="434" t="n"/>
      <c r="KU2" s="434" t="n"/>
      <c r="KV2" s="434" t="n"/>
      <c r="KW2" s="434" t="n"/>
      <c r="KX2" s="434" t="n"/>
      <c r="KY2" s="434" t="n"/>
      <c r="KZ2" s="434" t="n"/>
      <c r="LA2" s="434" t="n"/>
      <c r="LB2" s="434" t="n"/>
      <c r="LC2" s="434" t="n"/>
      <c r="LD2" s="434" t="n"/>
      <c r="LE2" s="434" t="n"/>
      <c r="LF2" s="434" t="n"/>
      <c r="LG2" s="434" t="n"/>
      <c r="LH2" s="434" t="n"/>
      <c r="LI2" s="434" t="n"/>
      <c r="LJ2" s="434" t="n"/>
      <c r="LK2" s="434" t="n"/>
      <c r="LL2" s="434" t="n"/>
      <c r="LM2" s="434" t="n"/>
      <c r="LN2" s="434" t="n"/>
      <c r="LO2" s="434" t="n"/>
      <c r="LP2" s="434" t="n"/>
      <c r="LQ2" s="434" t="n"/>
      <c r="LR2" s="434" t="n"/>
      <c r="LS2" s="434" t="n"/>
      <c r="LT2" s="434" t="n"/>
      <c r="LU2" s="434" t="n"/>
      <c r="LV2" s="434" t="n"/>
      <c r="LW2" s="434" t="n"/>
      <c r="LX2" s="434" t="n"/>
      <c r="LY2" s="434" t="n"/>
      <c r="LZ2" s="434" t="n"/>
      <c r="MA2" s="434" t="n"/>
      <c r="MB2" s="434" t="n"/>
      <c r="MC2" s="434" t="n"/>
      <c r="MD2" s="434" t="n"/>
      <c r="ME2" s="434" t="n"/>
      <c r="MF2" s="434" t="n"/>
      <c r="MG2" s="434" t="n"/>
      <c r="MH2" s="434" t="n"/>
      <c r="MI2" s="434" t="n"/>
      <c r="MJ2" s="434" t="n"/>
      <c r="MK2" s="434" t="n"/>
      <c r="ML2" s="434" t="n"/>
      <c r="MM2" s="434" t="n"/>
      <c r="MN2" s="434" t="n"/>
      <c r="MO2" s="434" t="n"/>
      <c r="MP2" s="434" t="n"/>
      <c r="MQ2" s="434" t="n"/>
      <c r="MR2" s="434" t="n"/>
      <c r="MS2" s="434" t="n"/>
      <c r="MT2" s="434" t="n"/>
      <c r="MU2" s="434" t="n"/>
      <c r="MV2" s="434" t="n"/>
      <c r="MW2" s="434" t="n"/>
      <c r="MX2" s="434" t="n"/>
      <c r="MY2" s="434" t="n"/>
      <c r="MZ2" s="434" t="n"/>
      <c r="NA2" s="434" t="n"/>
      <c r="NB2" s="434" t="n"/>
      <c r="NC2" s="434" t="n"/>
      <c r="ND2" s="434" t="n"/>
      <c r="NE2" s="434" t="n"/>
      <c r="NF2" s="434" t="n"/>
      <c r="NG2" s="434" t="n"/>
      <c r="NH2" s="434" t="n"/>
      <c r="NI2" s="434" t="n"/>
      <c r="NJ2" s="434" t="n"/>
      <c r="NK2" s="434" t="n"/>
      <c r="NL2" s="434" t="n"/>
      <c r="NM2" s="434" t="n"/>
      <c r="NN2" s="434" t="n"/>
      <c r="NO2" s="434" t="n"/>
      <c r="NP2" s="434" t="n"/>
      <c r="NQ2" s="434" t="n"/>
      <c r="NR2" s="434" t="n"/>
      <c r="NS2" s="434" t="n"/>
      <c r="NT2" s="434" t="n"/>
      <c r="NU2" s="434" t="n"/>
      <c r="NV2" s="434" t="n"/>
      <c r="NW2" s="434" t="n"/>
      <c r="NX2" s="434" t="n"/>
      <c r="NY2" s="434" t="n"/>
      <c r="NZ2" s="434" t="n"/>
      <c r="OA2" s="434" t="n"/>
      <c r="OB2" s="434" t="n"/>
      <c r="OC2" s="434" t="n"/>
      <c r="OD2" s="434" t="n"/>
      <c r="OE2" s="434" t="n"/>
      <c r="OF2" s="434" t="n"/>
      <c r="OG2" s="434" t="n"/>
      <c r="OH2" s="434" t="n"/>
      <c r="OI2" s="434" t="n"/>
      <c r="OJ2" s="434" t="n"/>
      <c r="OK2" s="434" t="n"/>
      <c r="OL2" s="434" t="n"/>
      <c r="OM2" s="434" t="n"/>
      <c r="ON2" s="434" t="n"/>
      <c r="OO2" s="434" t="n"/>
      <c r="OP2" s="434" t="n"/>
      <c r="OQ2" s="434" t="n"/>
      <c r="OR2" s="434" t="n"/>
      <c r="OS2" s="434" t="n"/>
      <c r="OT2" s="434" t="n"/>
      <c r="OU2" s="434" t="n"/>
      <c r="OV2" s="434" t="n"/>
      <c r="OW2" s="434" t="n"/>
      <c r="OX2" s="434" t="n"/>
      <c r="OY2" s="434" t="n"/>
      <c r="OZ2" s="434" t="n"/>
      <c r="PA2" s="434" t="n"/>
      <c r="PB2" s="434" t="n"/>
      <c r="PC2" s="434" t="n"/>
      <c r="PD2" s="434" t="n"/>
      <c r="PE2" s="434" t="n"/>
      <c r="PF2" s="434" t="n"/>
      <c r="PG2" s="434" t="n"/>
      <c r="PH2" s="434" t="n"/>
      <c r="PI2" s="434" t="n"/>
      <c r="PJ2" s="434" t="n"/>
      <c r="PK2" s="434" t="n"/>
      <c r="PL2" s="434" t="n"/>
      <c r="PM2" s="434" t="n"/>
      <c r="PN2" s="434" t="n"/>
      <c r="PO2" s="434" t="n"/>
      <c r="PP2" s="434" t="n"/>
      <c r="PQ2" s="434" t="n"/>
      <c r="PR2" s="434" t="n"/>
      <c r="PS2" s="434" t="n"/>
      <c r="PT2" s="434" t="n"/>
      <c r="PU2" s="434" t="n"/>
      <c r="PV2" s="434" t="n"/>
      <c r="PW2" s="434" t="n"/>
      <c r="PX2" s="434" t="n"/>
      <c r="PY2" s="434" t="n"/>
      <c r="PZ2" s="434" t="n"/>
      <c r="QA2" s="434" t="n"/>
      <c r="QB2" s="434" t="n"/>
      <c r="QC2" s="434" t="n"/>
      <c r="QD2" s="434" t="n"/>
      <c r="QE2" s="434" t="n"/>
      <c r="QF2" s="434" t="n"/>
      <c r="QG2" s="434" t="n"/>
      <c r="QH2" s="434" t="n"/>
      <c r="QI2" s="434" t="n"/>
      <c r="QJ2" s="434" t="n"/>
      <c r="QK2" s="434" t="n"/>
      <c r="QL2" s="434" t="n"/>
      <c r="QM2" s="434" t="n"/>
      <c r="QN2" s="434" t="n"/>
      <c r="QO2" s="434" t="n"/>
      <c r="QP2" s="434" t="n"/>
      <c r="QQ2" s="434" t="n"/>
      <c r="QR2" s="434" t="n"/>
      <c r="QS2" s="434" t="n"/>
      <c r="QT2" s="434" t="n"/>
      <c r="QU2" s="434" t="n"/>
      <c r="QV2" s="434" t="n"/>
      <c r="QW2" s="434" t="n"/>
      <c r="QX2" s="434" t="n"/>
      <c r="QY2" s="434" t="n"/>
      <c r="QZ2" s="434" t="n"/>
      <c r="RA2" s="434" t="n"/>
      <c r="RB2" s="434" t="n"/>
      <c r="RC2" s="434" t="n"/>
      <c r="RD2" s="434" t="n"/>
      <c r="RE2" s="434" t="n"/>
      <c r="RF2" s="434" t="n"/>
      <c r="RG2" s="434" t="n"/>
      <c r="RH2" s="434" t="n"/>
      <c r="RI2" s="434" t="n"/>
      <c r="RJ2" s="434" t="n"/>
      <c r="RK2" s="434" t="n"/>
      <c r="RL2" s="434" t="n"/>
      <c r="RM2" s="434" t="n"/>
      <c r="RN2" s="434" t="n"/>
      <c r="RO2" s="434" t="n"/>
      <c r="RP2" s="434" t="n"/>
      <c r="RQ2" s="434" t="n"/>
      <c r="RR2" s="434" t="n"/>
      <c r="RS2" s="434" t="n"/>
      <c r="RT2" s="434" t="n"/>
      <c r="RU2" s="434" t="n"/>
      <c r="RV2" s="434" t="n"/>
      <c r="RW2" s="434" t="n"/>
      <c r="RX2" s="434" t="n"/>
      <c r="RY2" s="434" t="n"/>
      <c r="RZ2" s="434" t="n"/>
      <c r="SA2" s="434" t="n"/>
      <c r="SB2" s="434" t="n"/>
      <c r="SC2" s="434" t="n"/>
      <c r="SD2" s="434" t="n"/>
      <c r="SE2" s="434" t="n"/>
      <c r="SF2" s="434" t="n"/>
      <c r="SG2" s="434" t="n"/>
      <c r="SH2" s="434" t="n"/>
      <c r="SI2" s="434" t="n"/>
      <c r="SJ2" s="434" t="n"/>
      <c r="SK2" s="434" t="n"/>
      <c r="SL2" s="434" t="n"/>
      <c r="SM2" s="434" t="n"/>
      <c r="SN2" s="434" t="n"/>
      <c r="SO2" s="434" t="n"/>
      <c r="SP2" s="434" t="n"/>
      <c r="SQ2" s="434" t="n"/>
      <c r="SR2" s="434" t="n"/>
      <c r="SS2" s="434" t="n"/>
      <c r="ST2" s="434" t="n"/>
      <c r="SU2" s="434" t="n"/>
      <c r="SV2" s="434" t="n"/>
      <c r="SW2" s="434" t="n"/>
      <c r="SX2" s="434" t="n"/>
      <c r="SY2" s="434" t="n"/>
      <c r="SZ2" s="434" t="n"/>
      <c r="TA2" s="434" t="n"/>
      <c r="TB2" s="434" t="n"/>
      <c r="TC2" s="434" t="n"/>
      <c r="TD2" s="434" t="n"/>
      <c r="TE2" s="434" t="n"/>
      <c r="TF2" s="434" t="n"/>
      <c r="TG2" s="434" t="n"/>
      <c r="TH2" s="434" t="n"/>
      <c r="TI2" s="434" t="n"/>
      <c r="TJ2" s="434" t="n"/>
      <c r="TK2" s="434" t="n"/>
      <c r="TL2" s="434" t="n"/>
      <c r="TM2" s="434" t="n"/>
      <c r="TN2" s="434" t="n"/>
      <c r="TO2" s="434" t="n"/>
      <c r="TP2" s="434" t="n"/>
      <c r="TQ2" s="434" t="n"/>
      <c r="TR2" s="434" t="n"/>
      <c r="TS2" s="434" t="n"/>
      <c r="TT2" s="434" t="n"/>
      <c r="TU2" s="434" t="n"/>
      <c r="TV2" s="434" t="n"/>
      <c r="TW2" s="434" t="n"/>
      <c r="TX2" s="434" t="n"/>
      <c r="TY2" s="434" t="n"/>
      <c r="TZ2" s="434" t="n"/>
      <c r="UA2" s="434" t="n"/>
      <c r="UB2" s="434" t="n"/>
      <c r="UC2" s="434" t="n"/>
      <c r="UD2" s="434" t="n"/>
      <c r="UE2" s="434" t="n"/>
      <c r="UF2" s="434" t="n"/>
      <c r="UG2" s="434" t="n"/>
      <c r="UH2" s="434" t="n"/>
      <c r="UI2" s="434" t="n"/>
      <c r="UJ2" s="434" t="n"/>
      <c r="UK2" s="434" t="n"/>
      <c r="UL2" s="434" t="n"/>
      <c r="UM2" s="434" t="n"/>
      <c r="UN2" s="434" t="n"/>
      <c r="UO2" s="434" t="n"/>
      <c r="UP2" s="434" t="n"/>
      <c r="UQ2" s="434" t="n"/>
      <c r="UR2" s="434" t="n"/>
      <c r="US2" s="434" t="n"/>
      <c r="UT2" s="434" t="n"/>
      <c r="UU2" s="434" t="n"/>
      <c r="UV2" s="434" t="n"/>
      <c r="UW2" s="434" t="n"/>
      <c r="UX2" s="434" t="n"/>
      <c r="UY2" s="434" t="n"/>
      <c r="UZ2" s="434" t="n"/>
      <c r="VA2" s="434" t="n"/>
      <c r="VB2" s="434" t="n"/>
      <c r="VC2" s="434" t="n"/>
      <c r="VD2" s="434" t="n"/>
      <c r="VE2" s="434" t="n"/>
      <c r="VF2" s="434" t="n"/>
      <c r="VG2" s="434" t="n"/>
      <c r="VH2" s="434" t="n"/>
      <c r="VI2" s="434" t="n"/>
      <c r="VJ2" s="434" t="n"/>
      <c r="VK2" s="434" t="n"/>
      <c r="VL2" s="434" t="n"/>
      <c r="VM2" s="434" t="n"/>
      <c r="VN2" s="434" t="n"/>
      <c r="VO2" s="434" t="n"/>
      <c r="VP2" s="434" t="n"/>
      <c r="VQ2" s="434" t="n"/>
      <c r="VR2" s="434" t="n"/>
      <c r="VS2" s="434" t="n"/>
      <c r="VT2" s="434" t="n"/>
      <c r="VU2" s="434" t="n"/>
      <c r="VV2" s="434" t="n"/>
      <c r="VW2" s="434" t="n"/>
      <c r="VX2" s="434" t="n"/>
      <c r="VY2" s="434" t="n"/>
      <c r="VZ2" s="434" t="n"/>
      <c r="WA2" s="434" t="n"/>
      <c r="WB2" s="434" t="n"/>
      <c r="WC2" s="434" t="n"/>
      <c r="WD2" s="434" t="n"/>
      <c r="WE2" s="434" t="n"/>
      <c r="WF2" s="434" t="n"/>
      <c r="WG2" s="434" t="n"/>
      <c r="WH2" s="434" t="n"/>
      <c r="WI2" s="434" t="n"/>
      <c r="WJ2" s="434" t="n"/>
      <c r="WK2" s="434" t="n"/>
      <c r="WL2" s="434" t="n"/>
      <c r="WM2" s="434" t="n"/>
      <c r="WN2" s="434" t="n"/>
      <c r="WO2" s="434" t="n"/>
      <c r="WP2" s="434" t="n"/>
      <c r="WQ2" s="434" t="n"/>
      <c r="WR2" s="434" t="n"/>
      <c r="WS2" s="434" t="n"/>
      <c r="WT2" s="434" t="n"/>
      <c r="WU2" s="434" t="n"/>
      <c r="WV2" s="434" t="n"/>
      <c r="WW2" s="434" t="n"/>
      <c r="WX2" s="434" t="n"/>
      <c r="WY2" s="434" t="n"/>
      <c r="WZ2" s="434" t="n"/>
      <c r="XA2" s="434" t="n"/>
      <c r="XB2" s="434" t="n"/>
      <c r="XC2" s="434" t="n"/>
      <c r="XD2" s="434" t="n"/>
      <c r="XE2" s="434" t="n"/>
      <c r="XF2" s="434" t="n"/>
      <c r="XG2" s="434" t="n"/>
      <c r="XH2" s="434" t="n"/>
      <c r="XI2" s="434" t="n"/>
      <c r="XJ2" s="434" t="n"/>
      <c r="XK2" s="434" t="n"/>
      <c r="XL2" s="434" t="n"/>
      <c r="XM2" s="434" t="n"/>
      <c r="XN2" s="434" t="n"/>
      <c r="XO2" s="434" t="n"/>
      <c r="XP2" s="434" t="n"/>
      <c r="XQ2" s="434" t="n"/>
      <c r="XR2" s="434" t="n"/>
      <c r="XS2" s="434" t="n"/>
      <c r="XT2" s="434" t="n"/>
      <c r="XU2" s="434" t="n"/>
      <c r="XV2" s="434" t="n"/>
      <c r="XW2" s="434" t="n"/>
      <c r="XX2" s="434" t="n"/>
      <c r="XY2" s="434" t="n"/>
      <c r="XZ2" s="434" t="n"/>
      <c r="YA2" s="434" t="n"/>
      <c r="YB2" s="434" t="n"/>
      <c r="YC2" s="434" t="n"/>
      <c r="YD2" s="434" t="n"/>
      <c r="YE2" s="434" t="n"/>
      <c r="YF2" s="434" t="n"/>
      <c r="YG2" s="434" t="n"/>
      <c r="YH2" s="434" t="n"/>
      <c r="YI2" s="434" t="n"/>
      <c r="YJ2" s="434" t="n"/>
      <c r="YK2" s="434" t="n"/>
      <c r="YL2" s="434" t="n"/>
      <c r="YM2" s="434" t="n"/>
      <c r="YN2" s="434" t="n"/>
      <c r="YO2" s="434" t="n"/>
      <c r="YP2" s="434" t="n"/>
      <c r="YQ2" s="434" t="n"/>
      <c r="YR2" s="434" t="n"/>
      <c r="YS2" s="434" t="n"/>
      <c r="YT2" s="434" t="n"/>
      <c r="YU2" s="434" t="n"/>
      <c r="YV2" s="434" t="n"/>
      <c r="YW2" s="434" t="n"/>
      <c r="YX2" s="434" t="n"/>
      <c r="YY2" s="434" t="n"/>
      <c r="YZ2" s="434" t="n"/>
      <c r="ZA2" s="434" t="n"/>
      <c r="ZB2" s="434" t="n"/>
      <c r="ZC2" s="434" t="n"/>
      <c r="ZD2" s="434" t="n"/>
      <c r="ZE2" s="434" t="n"/>
      <c r="ZF2" s="434" t="n"/>
      <c r="ZG2" s="434" t="n"/>
      <c r="ZH2" s="434" t="n"/>
      <c r="ZI2" s="434" t="n"/>
      <c r="ZJ2" s="434" t="n"/>
      <c r="ZK2" s="434" t="n"/>
      <c r="ZL2" s="434" t="n"/>
      <c r="ZM2" s="434" t="n"/>
      <c r="ZN2" s="434" t="n"/>
      <c r="ZO2" s="434" t="n"/>
      <c r="ZP2" s="434" t="n"/>
      <c r="ZQ2" s="434" t="n"/>
      <c r="ZR2" s="434" t="n"/>
      <c r="ZS2" s="434" t="n"/>
      <c r="ZT2" s="434" t="n"/>
      <c r="ZU2" s="434" t="n"/>
      <c r="ZV2" s="434" t="n"/>
      <c r="ZW2" s="434" t="n"/>
      <c r="ZX2" s="434" t="n"/>
      <c r="ZY2" s="434" t="n"/>
      <c r="ZZ2" s="434" t="n"/>
      <c r="AAA2" s="434" t="n"/>
      <c r="AAB2" s="434" t="n"/>
      <c r="AAC2" s="434" t="n"/>
      <c r="AAD2" s="434" t="n"/>
      <c r="AAE2" s="434" t="n"/>
      <c r="AAF2" s="434" t="n"/>
      <c r="AAG2" s="434" t="n"/>
      <c r="AAH2" s="434" t="n"/>
      <c r="AAI2" s="434" t="n"/>
      <c r="AAJ2" s="434" t="n"/>
      <c r="AAK2" s="434" t="n"/>
      <c r="AAL2" s="434" t="n"/>
      <c r="AAM2" s="434" t="n"/>
      <c r="AAN2" s="434" t="n"/>
      <c r="AAO2" s="434" t="n"/>
      <c r="AAP2" s="434" t="n"/>
      <c r="AAQ2" s="434" t="n"/>
      <c r="AAR2" s="434" t="n"/>
      <c r="AAS2" s="434" t="n"/>
      <c r="AAT2" s="434" t="n"/>
      <c r="AAU2" s="434" t="n"/>
      <c r="AAV2" s="434" t="n"/>
      <c r="AAW2" s="434" t="n"/>
      <c r="AAX2" s="434" t="n"/>
      <c r="AAY2" s="434" t="n"/>
      <c r="AAZ2" s="434" t="n"/>
      <c r="ABA2" s="434" t="n"/>
      <c r="ABB2" s="434" t="n"/>
      <c r="ABC2" s="434" t="n"/>
      <c r="ABD2" s="434" t="n"/>
      <c r="ABE2" s="434" t="n"/>
      <c r="ABF2" s="434" t="n"/>
      <c r="ABG2" s="434" t="n"/>
      <c r="ABH2" s="434" t="n"/>
      <c r="ABI2" s="434" t="n"/>
      <c r="ABJ2" s="434" t="n"/>
      <c r="ABK2" s="434" t="n"/>
      <c r="ABL2" s="434" t="n"/>
      <c r="ABM2" s="434" t="n"/>
      <c r="ABN2" s="434" t="n"/>
      <c r="ABO2" s="434" t="n"/>
      <c r="ABP2" s="434" t="n"/>
      <c r="ABQ2" s="434" t="n"/>
      <c r="ABR2" s="434" t="n"/>
      <c r="ABS2" s="434" t="n"/>
      <c r="ABT2" s="434" t="n"/>
      <c r="ABU2" s="434" t="n"/>
      <c r="ABV2" s="434" t="n"/>
      <c r="ABW2" s="434" t="n"/>
      <c r="ABX2" s="434" t="n"/>
      <c r="ABY2" s="434" t="n"/>
      <c r="ABZ2" s="434" t="n"/>
      <c r="ACA2" s="434" t="n"/>
      <c r="ACB2" s="434" t="n"/>
      <c r="ACC2" s="434" t="n"/>
      <c r="ACD2" s="434" t="n"/>
      <c r="ACE2" s="434" t="n"/>
      <c r="ACF2" s="434" t="n"/>
      <c r="ACG2" s="434" t="n"/>
      <c r="ACH2" s="434" t="n"/>
      <c r="ACI2" s="434" t="n"/>
      <c r="ACJ2" s="434" t="n"/>
      <c r="ACK2" s="434" t="n"/>
      <c r="ACL2" s="434" t="n"/>
      <c r="ACM2" s="434" t="n"/>
      <c r="ACN2" s="434" t="n"/>
      <c r="ACO2" s="434" t="n"/>
      <c r="ACP2" s="434" t="n"/>
      <c r="ACQ2" s="434" t="n"/>
      <c r="ACR2" s="434" t="n"/>
      <c r="ACS2" s="434" t="n"/>
      <c r="ACT2" s="434" t="n"/>
      <c r="ACU2" s="434" t="n"/>
      <c r="ACV2" s="434" t="n"/>
      <c r="ACW2" s="434" t="n"/>
      <c r="ACX2" s="434" t="n"/>
      <c r="ACY2" s="434" t="n"/>
      <c r="ACZ2" s="434" t="n"/>
      <c r="ADA2" s="434" t="n"/>
      <c r="ADB2" s="434" t="n"/>
      <c r="ADC2" s="434" t="n"/>
      <c r="ADD2" s="434" t="n"/>
      <c r="ADE2" s="434" t="n"/>
      <c r="ADF2" s="434" t="n"/>
      <c r="ADG2" s="434" t="n"/>
      <c r="ADH2" s="434" t="n"/>
      <c r="ADI2" s="434" t="n"/>
      <c r="ADJ2" s="434" t="n"/>
      <c r="ADK2" s="434" t="n"/>
      <c r="ADL2" s="434" t="n"/>
      <c r="ADM2" s="434" t="n"/>
      <c r="ADN2" s="434" t="n"/>
      <c r="ADO2" s="434" t="n"/>
      <c r="ADP2" s="434" t="n"/>
      <c r="ADQ2" s="434" t="n"/>
      <c r="ADR2" s="434" t="n"/>
      <c r="ADS2" s="434" t="n"/>
      <c r="ADT2" s="434" t="n"/>
      <c r="ADU2" s="434" t="n"/>
      <c r="ADV2" s="434" t="n"/>
      <c r="ADW2" s="434" t="n"/>
      <c r="ADX2" s="434" t="n"/>
      <c r="ADY2" s="434" t="n"/>
      <c r="ADZ2" s="434" t="n"/>
      <c r="AEA2" s="434" t="n"/>
      <c r="AEB2" s="434" t="n"/>
      <c r="AEC2" s="434" t="n"/>
      <c r="AED2" s="434" t="n"/>
      <c r="AEE2" s="434" t="n"/>
      <c r="AEF2" s="434" t="n"/>
      <c r="AEG2" s="434" t="n"/>
      <c r="AEH2" s="434" t="n"/>
      <c r="AEI2" s="434" t="n"/>
      <c r="AEJ2" s="434" t="n"/>
      <c r="AEK2" s="434" t="n"/>
      <c r="AEL2" s="434" t="n"/>
      <c r="AEM2" s="434" t="n"/>
      <c r="AEN2" s="434" t="n"/>
      <c r="AEO2" s="434" t="n"/>
      <c r="AEP2" s="434" t="n"/>
      <c r="AEQ2" s="434" t="n"/>
      <c r="AER2" s="434" t="n"/>
      <c r="AES2" s="434" t="n"/>
      <c r="AET2" s="434" t="n"/>
      <c r="AEU2" s="434" t="n"/>
      <c r="AEV2" s="434" t="n"/>
      <c r="AEW2" s="434" t="n"/>
      <c r="AEX2" s="434" t="n"/>
      <c r="AEY2" s="434" t="n"/>
      <c r="AEZ2" s="434" t="n"/>
      <c r="AFA2" s="434" t="n"/>
      <c r="AFB2" s="434" t="n"/>
      <c r="AFC2" s="434" t="n"/>
      <c r="AFD2" s="434" t="n"/>
      <c r="AFE2" s="434" t="n"/>
      <c r="AFF2" s="434" t="n"/>
      <c r="AFG2" s="434" t="n"/>
      <c r="AFH2" s="434" t="n"/>
      <c r="AFI2" s="434" t="n"/>
      <c r="AFJ2" s="434" t="n"/>
      <c r="AFK2" s="434" t="n"/>
      <c r="AFL2" s="434" t="n"/>
      <c r="AFM2" s="434" t="n"/>
      <c r="AFN2" s="434" t="n"/>
      <c r="AFO2" s="434" t="n"/>
      <c r="AFP2" s="434" t="n"/>
      <c r="AFQ2" s="434" t="n"/>
      <c r="AFR2" s="434" t="n"/>
      <c r="AFS2" s="434" t="n"/>
      <c r="AFT2" s="434" t="n"/>
      <c r="AFU2" s="434" t="n"/>
      <c r="AFV2" s="434" t="n"/>
      <c r="AFW2" s="434" t="n"/>
      <c r="AFX2" s="434" t="n"/>
      <c r="AFY2" s="434" t="n"/>
      <c r="AFZ2" s="434" t="n"/>
      <c r="AGA2" s="434" t="n"/>
      <c r="AGB2" s="434" t="n"/>
      <c r="AGC2" s="434" t="n"/>
      <c r="AGD2" s="434" t="n"/>
      <c r="AGE2" s="434" t="n"/>
      <c r="AGF2" s="434" t="n"/>
      <c r="AGG2" s="434" t="n"/>
      <c r="AGH2" s="434" t="n"/>
      <c r="AGI2" s="434" t="n"/>
      <c r="AGJ2" s="434" t="n"/>
      <c r="AGK2" s="434" t="n"/>
      <c r="AGL2" s="434" t="n"/>
      <c r="AGM2" s="434" t="n"/>
      <c r="AGN2" s="434" t="n"/>
      <c r="AGO2" s="434" t="n"/>
      <c r="AGP2" s="434" t="n"/>
      <c r="AGQ2" s="434" t="n"/>
      <c r="AGR2" s="434" t="n"/>
      <c r="AGS2" s="434" t="n"/>
      <c r="AGT2" s="434" t="n"/>
      <c r="AGU2" s="434" t="n"/>
      <c r="AGV2" s="434" t="n"/>
      <c r="AGW2" s="434" t="n"/>
      <c r="AGX2" s="434" t="n"/>
      <c r="AGY2" s="434" t="n"/>
      <c r="AGZ2" s="434" t="n"/>
      <c r="AHA2" s="434" t="n"/>
      <c r="AHB2" s="434" t="n"/>
      <c r="AHC2" s="434" t="n"/>
      <c r="AHD2" s="434" t="n"/>
      <c r="AHE2" s="434" t="n"/>
      <c r="AHF2" s="434" t="n"/>
      <c r="AHG2" s="434" t="n"/>
      <c r="AHH2" s="434" t="n"/>
      <c r="AHI2" s="434" t="n"/>
      <c r="AHJ2" s="434" t="n"/>
      <c r="AHK2" s="434" t="n"/>
      <c r="AHL2" s="434" t="n"/>
      <c r="AHM2" s="434" t="n"/>
      <c r="AHN2" s="434" t="n"/>
      <c r="AHO2" s="434" t="n"/>
      <c r="AHP2" s="434" t="n"/>
      <c r="AHQ2" s="434" t="n"/>
      <c r="AHR2" s="434" t="n"/>
      <c r="AHS2" s="434" t="n"/>
      <c r="AHT2" s="434" t="n"/>
      <c r="AHU2" s="434" t="n"/>
      <c r="AHV2" s="434" t="n"/>
      <c r="AHW2" s="434" t="n"/>
      <c r="AHX2" s="434" t="n"/>
      <c r="AHY2" s="434" t="n"/>
      <c r="AHZ2" s="434" t="n"/>
      <c r="AIA2" s="434" t="n"/>
      <c r="AIB2" s="434" t="n"/>
      <c r="AIC2" s="434" t="n"/>
      <c r="AID2" s="434" t="n"/>
      <c r="AIE2" s="434" t="n"/>
      <c r="AIF2" s="434" t="n"/>
      <c r="AIG2" s="434" t="n"/>
      <c r="AIH2" s="434" t="n"/>
      <c r="AII2" s="434" t="n"/>
      <c r="AIJ2" s="434" t="n"/>
      <c r="AIK2" s="434" t="n"/>
      <c r="AIL2" s="434" t="n"/>
      <c r="AIM2" s="434" t="n"/>
      <c r="AIN2" s="434" t="n"/>
      <c r="AIO2" s="434" t="n"/>
      <c r="AIP2" s="434" t="n"/>
      <c r="AIQ2" s="434" t="n"/>
      <c r="AIR2" s="434" t="n"/>
      <c r="AIS2" s="434" t="n"/>
      <c r="AIT2" s="434" t="n"/>
      <c r="AIU2" s="434" t="n"/>
      <c r="AIV2" s="434" t="n"/>
      <c r="AIW2" s="434" t="n"/>
      <c r="AIX2" s="434" t="n"/>
      <c r="AIY2" s="434" t="n"/>
      <c r="AIZ2" s="434" t="n"/>
      <c r="AJA2" s="434" t="n"/>
      <c r="AJB2" s="434" t="n"/>
      <c r="AJC2" s="434" t="n"/>
      <c r="AJD2" s="434" t="n"/>
      <c r="AJE2" s="434" t="n"/>
      <c r="AJF2" s="434" t="n"/>
      <c r="AJG2" s="434" t="n"/>
      <c r="AJH2" s="434" t="n"/>
      <c r="AJI2" s="434" t="n"/>
      <c r="AJJ2" s="434" t="n"/>
      <c r="AJK2" s="434" t="n"/>
      <c r="AJL2" s="434" t="n"/>
      <c r="AJM2" s="434" t="n"/>
      <c r="AJN2" s="434" t="n"/>
      <c r="AJO2" s="434" t="n"/>
      <c r="AJP2" s="434" t="n"/>
      <c r="AJQ2" s="434" t="n"/>
      <c r="AJR2" s="434" t="n"/>
      <c r="AJS2" s="434" t="n"/>
      <c r="AJT2" s="434" t="n"/>
      <c r="AJU2" s="434" t="n"/>
      <c r="AJV2" s="434" t="n"/>
      <c r="AJW2" s="434" t="n"/>
      <c r="AJX2" s="434" t="n"/>
      <c r="AJY2" s="434" t="n"/>
      <c r="AJZ2" s="434" t="n"/>
      <c r="AKA2" s="434" t="n"/>
      <c r="AKB2" s="434" t="n"/>
      <c r="AKC2" s="434" t="n"/>
      <c r="AKD2" s="434" t="n"/>
      <c r="AKE2" s="434" t="n"/>
      <c r="AKF2" s="434" t="n"/>
      <c r="AKG2" s="434" t="n"/>
      <c r="AKH2" s="434" t="n"/>
      <c r="AKI2" s="434" t="n"/>
      <c r="AKJ2" s="434" t="n"/>
      <c r="AKK2" s="434" t="n"/>
      <c r="AKL2" s="434" t="n"/>
      <c r="AKM2" s="434" t="n"/>
      <c r="AKN2" s="434" t="n"/>
      <c r="AKO2" s="434" t="n"/>
      <c r="AKP2" s="434" t="n"/>
      <c r="AKQ2" s="434" t="n"/>
      <c r="AKR2" s="434" t="n"/>
      <c r="AKS2" s="434" t="n"/>
      <c r="AKT2" s="434" t="n"/>
      <c r="AKU2" s="434" t="n"/>
      <c r="AKV2" s="434" t="n"/>
      <c r="AKW2" s="434" t="n"/>
      <c r="AKX2" s="434" t="n"/>
      <c r="AKY2" s="434" t="n"/>
      <c r="AKZ2" s="434" t="n"/>
      <c r="ALA2" s="434" t="n"/>
      <c r="ALB2" s="434" t="n"/>
      <c r="ALC2" s="434" t="n"/>
      <c r="ALD2" s="434" t="n"/>
      <c r="ALE2" s="434" t="n"/>
      <c r="ALF2" s="434" t="n"/>
      <c r="ALG2" s="434" t="n"/>
      <c r="ALH2" s="434" t="n"/>
      <c r="ALI2" s="434" t="n"/>
      <c r="ALJ2" s="434" t="n"/>
      <c r="ALK2" s="434" t="n"/>
      <c r="ALL2" s="434" t="n"/>
      <c r="ALM2" s="434" t="n"/>
      <c r="ALN2" s="434" t="n"/>
      <c r="ALO2" s="434" t="n"/>
      <c r="ALP2" s="434" t="n"/>
      <c r="ALQ2" s="434" t="n"/>
      <c r="ALR2" s="434" t="n"/>
      <c r="ALS2" s="434" t="n"/>
      <c r="ALT2" s="434" t="n"/>
      <c r="ALU2" s="434" t="n"/>
      <c r="ALV2" s="434" t="n"/>
      <c r="ALW2" s="434" t="n"/>
      <c r="ALX2" s="434" t="n"/>
      <c r="ALY2" s="434" t="n"/>
      <c r="ALZ2" s="434" t="n"/>
      <c r="AMA2" s="434" t="n"/>
      <c r="AMB2" s="434" t="n"/>
      <c r="AMC2" s="434" t="n"/>
      <c r="AMD2" s="434" t="n"/>
      <c r="AME2" s="434" t="n"/>
      <c r="AMF2" s="434" t="n"/>
      <c r="AMG2" s="434" t="n"/>
      <c r="AMH2" s="434" t="n"/>
      <c r="AMI2" s="434" t="n"/>
      <c r="AMJ2" s="434" t="n"/>
      <c r="AMK2" s="434" t="n"/>
      <c r="AML2" s="434" t="n"/>
      <c r="AMM2" s="434" t="n"/>
    </row>
    <row r="3" ht="20" customFormat="1" customHeight="1" s="849">
      <c r="D3" s="621" t="n"/>
      <c r="G3" s="1015" t="n"/>
      <c r="H3" s="1015" t="n"/>
      <c r="I3" s="1015" t="n"/>
      <c r="J3" s="1015" t="n"/>
      <c r="K3" s="1015" t="n"/>
      <c r="L3" s="1015" t="n"/>
      <c r="M3" s="1015" t="n"/>
      <c r="N3" s="1015" t="n"/>
    </row>
    <row r="4" ht="9.75" customFormat="1" customHeight="1" s="849">
      <c r="A4" s="621" t="n"/>
      <c r="B4" s="621" t="n"/>
      <c r="C4" s="621" t="n"/>
      <c r="E4" s="1015" t="n"/>
      <c r="G4" s="1015" t="n"/>
      <c r="H4" s="1015" t="n"/>
      <c r="I4" s="1015" t="n"/>
      <c r="J4" s="1015" t="n"/>
      <c r="K4" s="1015" t="n"/>
      <c r="L4" s="1015" t="n"/>
      <c r="M4" s="1015" t="n"/>
      <c r="N4" s="1015" t="n"/>
    </row>
    <row r="5" ht="20" customFormat="1" customHeight="1" s="849">
      <c r="A5" s="621" t="n"/>
      <c r="B5" s="621" t="n"/>
      <c r="C5" s="621" t="n"/>
      <c r="E5" s="1015" t="n"/>
      <c r="G5" s="1015" t="n"/>
      <c r="H5" s="1015" t="n"/>
      <c r="I5" s="1015" t="n"/>
      <c r="J5" s="1015" t="n"/>
      <c r="K5" s="1015" t="n"/>
      <c r="L5" s="1015" t="n"/>
      <c r="M5" s="1015" t="n"/>
      <c r="N5" s="1015" t="n"/>
    </row>
    <row r="6" ht="20" customFormat="1" customHeight="1" s="849">
      <c r="E6" s="1015" t="n"/>
      <c r="G6" s="1015" t="n"/>
      <c r="H6" s="1015" t="n"/>
      <c r="I6" s="1015" t="n"/>
      <c r="J6" s="1015" t="n"/>
      <c r="K6" s="1015" t="n"/>
      <c r="L6" s="1015" t="n"/>
      <c r="M6" s="1015" t="n"/>
      <c r="N6" s="1015" t="n"/>
    </row>
    <row r="7"/>
    <row r="8"/>
    <row r="9" ht="43.5" customFormat="1" customHeight="1" s="623">
      <c r="A9" s="859" t="inlineStr">
        <is>
          <t>Code DISPRU</t>
        </is>
      </c>
      <c r="B9" s="859" t="inlineStr">
        <is>
          <t>CONTREPARTIE</t>
        </is>
      </c>
      <c r="C9" s="901" t="n"/>
      <c r="D9" s="859" t="inlineStr">
        <is>
          <t xml:space="preserve">CATÉGORIES D'ÉCHÉANCES DES RISQUES </t>
        </is>
      </c>
      <c r="E9" s="900" t="n"/>
      <c r="F9" s="900" t="n"/>
      <c r="G9" s="900" t="n"/>
      <c r="H9" s="900" t="n"/>
      <c r="I9" s="900" t="n"/>
      <c r="J9" s="900" t="n"/>
      <c r="K9" s="900" t="n"/>
      <c r="L9" s="900" t="n"/>
      <c r="M9" s="900" t="n"/>
      <c r="N9" s="900" t="n"/>
      <c r="O9" s="900" t="n"/>
      <c r="P9" s="900" t="n"/>
      <c r="Q9" s="900" t="n"/>
      <c r="R9" s="900" t="n"/>
      <c r="S9" s="900" t="n"/>
      <c r="T9" s="900" t="n"/>
      <c r="U9" s="900" t="n"/>
      <c r="V9" s="900" t="n"/>
      <c r="W9" s="900" t="n"/>
      <c r="X9" s="900" t="n"/>
      <c r="Y9" s="900" t="n"/>
      <c r="Z9" s="900" t="n"/>
      <c r="AA9" s="901" t="n"/>
      <c r="AB9" s="856" t="inlineStr">
        <is>
          <t>TOTAL</t>
        </is>
      </c>
    </row>
    <row r="10" ht="80" customFormat="1" customHeight="1" s="623">
      <c r="A10" s="1002" t="n"/>
      <c r="B10" s="624" t="inlineStr">
        <is>
          <t>No d'identification Centrale des risques</t>
        </is>
      </c>
      <c r="C10" s="624" t="inlineStr">
        <is>
          <t>Nom</t>
        </is>
      </c>
      <c r="D10" s="624" t="inlineStr">
        <is>
          <t>Jusqu'à 1 mois</t>
        </is>
      </c>
      <c r="E10" s="624" t="inlineStr">
        <is>
          <t>Plus d'1 mois jusqu'à 2 mois</t>
        </is>
      </c>
      <c r="F10" s="624" t="inlineStr">
        <is>
          <t>Plus de 2 mois jusqu'à 3 mois</t>
        </is>
      </c>
      <c r="G10" s="624" t="inlineStr">
        <is>
          <t>Plus de 3 mois jusqu'à 4 mois</t>
        </is>
      </c>
      <c r="H10" s="624" t="inlineStr">
        <is>
          <t>Plus de 4 mois jusqu'à 5 mois</t>
        </is>
      </c>
      <c r="I10" s="624" t="inlineStr">
        <is>
          <t>Plus de 5 mois jusqu'à 6 mois</t>
        </is>
      </c>
      <c r="J10" s="624" t="inlineStr">
        <is>
          <t>Plus de 6 mois jusqu'à 7 mois</t>
        </is>
      </c>
      <c r="K10" s="624" t="inlineStr">
        <is>
          <t>Plus de 7 mois jusqu'à 8 mois</t>
        </is>
      </c>
      <c r="L10" s="624" t="inlineStr">
        <is>
          <t>Plus de 8 mois jusqu'à 9 mois</t>
        </is>
      </c>
      <c r="M10" s="624" t="inlineStr">
        <is>
          <t>Plus de 9 mois jusqu'à 10 mois</t>
        </is>
      </c>
      <c r="N10" s="624" t="inlineStr">
        <is>
          <t>Plus de 10 mois jusqu'à 11 mois</t>
        </is>
      </c>
      <c r="O10" s="624" t="inlineStr">
        <is>
          <t>Plus de 11 mois jusqu'à 12 mois</t>
        </is>
      </c>
      <c r="P10" s="624" t="inlineStr">
        <is>
          <t>Plus de 12 mois jusqu'à 15 mois</t>
        </is>
      </c>
      <c r="Q10" s="624" t="inlineStr">
        <is>
          <t>Plus de 15 mois jusqu'à 18 mois</t>
        </is>
      </c>
      <c r="R10" s="624" t="inlineStr">
        <is>
          <t>Plus de 18 mois jusqu'à 21 mois</t>
        </is>
      </c>
      <c r="S10" s="624" t="inlineStr">
        <is>
          <t>Plus de 21 mois jusqu'à 24 mois</t>
        </is>
      </c>
      <c r="T10" s="624" t="inlineStr">
        <is>
          <t>Plus de 24 mois jusqu'à 27 mois</t>
        </is>
      </c>
      <c r="U10" s="624" t="inlineStr">
        <is>
          <t>Plus de 27 mois jusqu'à 30 mois</t>
        </is>
      </c>
      <c r="V10" s="624" t="inlineStr">
        <is>
          <t>Plus de 30 mois jusqu'à 33 mois</t>
        </is>
      </c>
      <c r="W10" s="624" t="inlineStr">
        <is>
          <t>Plus de 33 mois jusqu'à 36 mois</t>
        </is>
      </c>
      <c r="X10" s="624" t="inlineStr">
        <is>
          <t>Plus de 3 ans jusqu'à 5 ans</t>
        </is>
      </c>
      <c r="Y10" s="624" t="inlineStr">
        <is>
          <t>Plus de 5 ans jusqu'à 10 ans</t>
        </is>
      </c>
      <c r="Z10" s="624" t="inlineStr">
        <is>
          <t>Plus de 10 ans</t>
        </is>
      </c>
      <c r="AA10" s="624" t="inlineStr">
        <is>
          <t>Échéance non définie</t>
        </is>
      </c>
      <c r="AB10" s="1002" t="n"/>
    </row>
    <row r="11" ht="27" customFormat="1" customHeight="1" s="623">
      <c r="A11" s="625" t="inlineStr">
        <is>
          <t>GR173</t>
        </is>
      </c>
      <c r="B11" s="606" t="n"/>
      <c r="C11" s="606" t="n"/>
      <c r="D11" s="606" t="n"/>
      <c r="E11" s="606" t="n"/>
      <c r="F11" s="606" t="n"/>
      <c r="G11" s="606" t="n"/>
      <c r="H11" s="606" t="n"/>
      <c r="I11" s="606" t="n"/>
      <c r="J11" s="606" t="n"/>
      <c r="K11" s="606" t="n"/>
      <c r="L11" s="606" t="n"/>
      <c r="M11" s="606" t="n"/>
      <c r="N11" s="606" t="n"/>
      <c r="O11" s="606" t="n"/>
      <c r="P11" s="606" t="n"/>
      <c r="Q11" s="606" t="n"/>
      <c r="R11" s="606" t="n"/>
      <c r="S11" s="606" t="n"/>
      <c r="T11" s="606" t="n"/>
      <c r="U11" s="606" t="n"/>
      <c r="V11" s="606" t="n"/>
      <c r="W11" s="606" t="n"/>
      <c r="X11" s="606" t="n"/>
      <c r="Y11" s="606" t="n"/>
      <c r="Z11" s="606" t="n"/>
      <c r="AA11" s="606" t="n"/>
      <c r="AB11" s="606" t="n"/>
    </row>
    <row r="12" ht="27" customFormat="1" customHeight="1" s="623">
      <c r="A12" s="625" t="inlineStr">
        <is>
          <t>GR174</t>
        </is>
      </c>
      <c r="B12" s="606" t="n"/>
      <c r="C12" s="606" t="n"/>
      <c r="D12" s="606" t="n"/>
      <c r="E12" s="606" t="n"/>
      <c r="F12" s="606" t="n"/>
      <c r="G12" s="606" t="n"/>
      <c r="H12" s="606" t="n"/>
      <c r="I12" s="606" t="n"/>
      <c r="J12" s="606" t="n"/>
      <c r="K12" s="606" t="n"/>
      <c r="L12" s="606" t="n"/>
      <c r="M12" s="606" t="n"/>
      <c r="N12" s="606" t="n"/>
      <c r="O12" s="606" t="n"/>
      <c r="P12" s="606" t="n"/>
      <c r="Q12" s="606" t="n"/>
      <c r="R12" s="606" t="n"/>
      <c r="S12" s="606" t="n"/>
      <c r="T12" s="606" t="n"/>
      <c r="U12" s="606" t="n"/>
      <c r="V12" s="606" t="n"/>
      <c r="W12" s="606" t="n"/>
      <c r="X12" s="606" t="n"/>
      <c r="Y12" s="606" t="n"/>
      <c r="Z12" s="606" t="n"/>
      <c r="AA12" s="606" t="n"/>
      <c r="AB12" s="606" t="n"/>
    </row>
    <row r="13" ht="27" customFormat="1" customHeight="1" s="623">
      <c r="A13" s="625" t="inlineStr">
        <is>
          <t>GR175</t>
        </is>
      </c>
      <c r="B13" s="606" t="n"/>
      <c r="C13" s="606" t="n"/>
      <c r="D13" s="606" t="n"/>
      <c r="E13" s="606" t="n"/>
      <c r="F13" s="606" t="n"/>
      <c r="G13" s="606" t="n"/>
      <c r="H13" s="606" t="n"/>
      <c r="I13" s="606" t="n"/>
      <c r="J13" s="606" t="n"/>
      <c r="K13" s="606" t="n"/>
      <c r="L13" s="606" t="n"/>
      <c r="M13" s="606" t="n"/>
      <c r="N13" s="606" t="n"/>
      <c r="O13" s="606" t="n"/>
      <c r="P13" s="606" t="n"/>
      <c r="Q13" s="606" t="n"/>
      <c r="R13" s="606" t="n"/>
      <c r="S13" s="606" t="n"/>
      <c r="T13" s="606" t="n"/>
      <c r="U13" s="606" t="n"/>
      <c r="V13" s="606" t="n"/>
      <c r="W13" s="606" t="n"/>
      <c r="X13" s="606" t="n"/>
      <c r="Y13" s="606" t="n"/>
      <c r="Z13" s="606" t="n"/>
      <c r="AA13" s="606" t="n"/>
      <c r="AB13" s="606" t="n"/>
    </row>
    <row r="14" ht="27" customFormat="1" customHeight="1" s="623">
      <c r="A14" s="625" t="inlineStr">
        <is>
          <t>GR176</t>
        </is>
      </c>
      <c r="B14" s="606" t="n"/>
      <c r="C14" s="606" t="n"/>
      <c r="D14" s="606" t="n"/>
      <c r="E14" s="606" t="n"/>
      <c r="F14" s="606" t="n"/>
      <c r="G14" s="606" t="n"/>
      <c r="H14" s="606" t="n"/>
      <c r="I14" s="606" t="n"/>
      <c r="J14" s="606" t="n"/>
      <c r="K14" s="606" t="n"/>
      <c r="L14" s="606" t="n"/>
      <c r="M14" s="606" t="n"/>
      <c r="N14" s="606" t="n"/>
      <c r="O14" s="606" t="n"/>
      <c r="P14" s="606" t="n"/>
      <c r="Q14" s="606" t="n"/>
      <c r="R14" s="606" t="n"/>
      <c r="S14" s="606" t="n"/>
      <c r="T14" s="606" t="n"/>
      <c r="U14" s="606" t="n"/>
      <c r="V14" s="606" t="n"/>
      <c r="W14" s="606" t="n"/>
      <c r="X14" s="606" t="n"/>
      <c r="Y14" s="606" t="n"/>
      <c r="Z14" s="606" t="n"/>
      <c r="AA14" s="606" t="n"/>
      <c r="AB14" s="606" t="n"/>
    </row>
    <row r="15" ht="27" customFormat="1" customHeight="1" s="623">
      <c r="A15" s="625" t="inlineStr">
        <is>
          <t>GR177</t>
        </is>
      </c>
      <c r="B15" s="606" t="n"/>
      <c r="C15" s="606" t="n"/>
      <c r="D15" s="606" t="n"/>
      <c r="E15" s="606" t="n"/>
      <c r="F15" s="606" t="n"/>
      <c r="G15" s="606" t="n"/>
      <c r="H15" s="606" t="n"/>
      <c r="I15" s="606" t="n"/>
      <c r="J15" s="606" t="n"/>
      <c r="K15" s="606" t="n"/>
      <c r="L15" s="606" t="n"/>
      <c r="M15" s="606" t="n"/>
      <c r="N15" s="606" t="n"/>
      <c r="O15" s="606" t="n"/>
      <c r="P15" s="606" t="n"/>
      <c r="Q15" s="606" t="n"/>
      <c r="R15" s="606" t="n"/>
      <c r="S15" s="606" t="n"/>
      <c r="T15" s="606" t="n"/>
      <c r="U15" s="606" t="n"/>
      <c r="V15" s="606" t="n"/>
      <c r="W15" s="606" t="n"/>
      <c r="X15" s="606" t="n"/>
      <c r="Y15" s="606" t="n"/>
      <c r="Z15" s="606" t="n"/>
      <c r="AA15" s="606" t="n"/>
      <c r="AB15" s="606" t="n"/>
    </row>
    <row r="16" ht="27" customFormat="1" customHeight="1" s="623">
      <c r="A16" s="625" t="inlineStr">
        <is>
          <t>GR178</t>
        </is>
      </c>
      <c r="B16" s="606" t="n"/>
      <c r="C16" s="606" t="n"/>
      <c r="D16" s="606" t="n"/>
      <c r="E16" s="606" t="n"/>
      <c r="F16" s="606" t="n"/>
      <c r="G16" s="606" t="n"/>
      <c r="H16" s="606" t="n"/>
      <c r="I16" s="606" t="n"/>
      <c r="J16" s="606" t="n"/>
      <c r="K16" s="606" t="n"/>
      <c r="L16" s="606" t="n"/>
      <c r="M16" s="606" t="n"/>
      <c r="N16" s="606" t="n"/>
      <c r="O16" s="606" t="n"/>
      <c r="P16" s="606" t="n"/>
      <c r="Q16" s="606" t="n"/>
      <c r="R16" s="606" t="n"/>
      <c r="S16" s="606" t="n"/>
      <c r="T16" s="606" t="n"/>
      <c r="U16" s="606" t="n"/>
      <c r="V16" s="606" t="n"/>
      <c r="W16" s="606" t="n"/>
      <c r="X16" s="606" t="n"/>
      <c r="Y16" s="606" t="n"/>
      <c r="Z16" s="606" t="n"/>
      <c r="AA16" s="606" t="n"/>
      <c r="AB16" s="606" t="n"/>
    </row>
    <row r="17" ht="27" customFormat="1" customHeight="1" s="623">
      <c r="A17" s="625" t="inlineStr">
        <is>
          <t>GR179</t>
        </is>
      </c>
      <c r="B17" s="606" t="n"/>
      <c r="C17" s="606" t="n"/>
      <c r="D17" s="606" t="n"/>
      <c r="E17" s="606" t="n"/>
      <c r="F17" s="606" t="n"/>
      <c r="G17" s="606" t="n"/>
      <c r="H17" s="606" t="n"/>
      <c r="I17" s="606" t="n"/>
      <c r="J17" s="606" t="n"/>
      <c r="K17" s="606" t="n"/>
      <c r="L17" s="606" t="n"/>
      <c r="M17" s="606" t="n"/>
      <c r="N17" s="606" t="n"/>
      <c r="O17" s="606" t="n"/>
      <c r="P17" s="606" t="n"/>
      <c r="Q17" s="606" t="n"/>
      <c r="R17" s="606" t="n"/>
      <c r="S17" s="606" t="n"/>
      <c r="T17" s="606" t="n"/>
      <c r="U17" s="606" t="n"/>
      <c r="V17" s="606" t="n"/>
      <c r="W17" s="606" t="n"/>
      <c r="X17" s="606" t="n"/>
      <c r="Y17" s="606" t="n"/>
      <c r="Z17" s="606" t="n"/>
      <c r="AA17" s="606" t="n"/>
      <c r="AB17" s="606" t="n"/>
    </row>
    <row r="18" ht="27" customFormat="1" customHeight="1" s="623">
      <c r="A18" s="625" t="inlineStr">
        <is>
          <t>GR180</t>
        </is>
      </c>
      <c r="B18" s="606" t="n"/>
      <c r="C18" s="606" t="n"/>
      <c r="D18" s="606" t="n"/>
      <c r="E18" s="606" t="n"/>
      <c r="F18" s="606" t="n"/>
      <c r="G18" s="606" t="n"/>
      <c r="H18" s="606" t="n"/>
      <c r="I18" s="606" t="n"/>
      <c r="J18" s="606" t="n"/>
      <c r="K18" s="606" t="n"/>
      <c r="L18" s="606" t="n"/>
      <c r="M18" s="606" t="n"/>
      <c r="N18" s="606" t="n"/>
      <c r="O18" s="606" t="n"/>
      <c r="P18" s="606" t="n"/>
      <c r="Q18" s="606" t="n"/>
      <c r="R18" s="606" t="n"/>
      <c r="S18" s="606" t="n"/>
      <c r="T18" s="606" t="n"/>
      <c r="U18" s="606" t="n"/>
      <c r="V18" s="606" t="n"/>
      <c r="W18" s="606" t="n"/>
      <c r="X18" s="606" t="n"/>
      <c r="Y18" s="606" t="n"/>
      <c r="Z18" s="606" t="n"/>
      <c r="AA18" s="606" t="n"/>
      <c r="AB18" s="606" t="n"/>
    </row>
    <row r="19" ht="27" customFormat="1" customHeight="1" s="623">
      <c r="A19" s="625" t="inlineStr">
        <is>
          <t>GR181</t>
        </is>
      </c>
      <c r="B19" s="606" t="n"/>
      <c r="C19" s="606" t="n"/>
      <c r="D19" s="606" t="n"/>
      <c r="E19" s="606" t="n"/>
      <c r="F19" s="606" t="n"/>
      <c r="G19" s="606" t="n"/>
      <c r="H19" s="606" t="n"/>
      <c r="I19" s="606" t="n"/>
      <c r="J19" s="606" t="n"/>
      <c r="K19" s="606" t="n"/>
      <c r="L19" s="606" t="n"/>
      <c r="M19" s="606" t="n"/>
      <c r="N19" s="606" t="n"/>
      <c r="O19" s="606" t="n"/>
      <c r="P19" s="606" t="n"/>
      <c r="Q19" s="606" t="n"/>
      <c r="R19" s="606" t="n"/>
      <c r="S19" s="606" t="n"/>
      <c r="T19" s="606" t="n"/>
      <c r="U19" s="606" t="n"/>
      <c r="V19" s="606" t="n"/>
      <c r="W19" s="606" t="n"/>
      <c r="X19" s="606" t="n"/>
      <c r="Y19" s="606" t="n"/>
      <c r="Z19" s="606" t="n"/>
      <c r="AA19" s="606" t="n"/>
      <c r="AB19" s="606" t="n"/>
    </row>
    <row r="20" ht="27" customFormat="1" customHeight="1" s="623">
      <c r="A20" s="625" t="inlineStr">
        <is>
          <t>GR182</t>
        </is>
      </c>
      <c r="B20" s="606" t="n"/>
      <c r="C20" s="606" t="n"/>
      <c r="D20" s="606" t="n"/>
      <c r="E20" s="606" t="n"/>
      <c r="F20" s="606" t="n"/>
      <c r="G20" s="606" t="n"/>
      <c r="H20" s="606" t="n"/>
      <c r="I20" s="606" t="n"/>
      <c r="J20" s="606" t="n"/>
      <c r="K20" s="606" t="n"/>
      <c r="L20" s="606" t="n"/>
      <c r="M20" s="606" t="n"/>
      <c r="N20" s="606" t="n"/>
      <c r="O20" s="606" t="n"/>
      <c r="P20" s="606" t="n"/>
      <c r="Q20" s="606" t="n"/>
      <c r="R20" s="606" t="n"/>
      <c r="S20" s="606" t="n"/>
      <c r="T20" s="606" t="n"/>
      <c r="U20" s="606" t="n"/>
      <c r="V20" s="606" t="n"/>
      <c r="W20" s="606" t="n"/>
      <c r="X20" s="606" t="n"/>
      <c r="Y20" s="606" t="n"/>
      <c r="Z20" s="606" t="n"/>
      <c r="AA20" s="606" t="n"/>
      <c r="AB20" s="606" t="n"/>
    </row>
    <row r="21" ht="27" customFormat="1" customHeight="1" s="623">
      <c r="A21" s="625" t="inlineStr">
        <is>
          <t>GR183</t>
        </is>
      </c>
      <c r="B21" s="606" t="n"/>
      <c r="C21" s="606" t="n"/>
      <c r="D21" s="606" t="n"/>
      <c r="E21" s="606" t="n"/>
      <c r="F21" s="606" t="n"/>
      <c r="G21" s="606" t="n"/>
      <c r="H21" s="606" t="n"/>
      <c r="I21" s="606" t="n"/>
      <c r="J21" s="606" t="n"/>
      <c r="K21" s="606" t="n"/>
      <c r="L21" s="606" t="n"/>
      <c r="M21" s="606" t="n"/>
      <c r="N21" s="606" t="n"/>
      <c r="O21" s="606" t="n"/>
      <c r="P21" s="606" t="n"/>
      <c r="Q21" s="606" t="n"/>
      <c r="R21" s="606" t="n"/>
      <c r="S21" s="606" t="n"/>
      <c r="T21" s="606" t="n"/>
      <c r="U21" s="606" t="n"/>
      <c r="V21" s="606" t="n"/>
      <c r="W21" s="606" t="n"/>
      <c r="X21" s="606" t="n"/>
      <c r="Y21" s="606" t="n"/>
      <c r="Z21" s="606" t="n"/>
      <c r="AA21" s="606" t="n"/>
      <c r="AB21" s="606" t="n"/>
    </row>
    <row r="22" ht="27" customFormat="1" customHeight="1" s="623">
      <c r="A22" s="625" t="inlineStr">
        <is>
          <t>GR184</t>
        </is>
      </c>
      <c r="B22" s="606" t="n"/>
      <c r="C22" s="606" t="n"/>
      <c r="D22" s="606" t="n"/>
      <c r="E22" s="606" t="n"/>
      <c r="F22" s="606" t="n"/>
      <c r="G22" s="606" t="n"/>
      <c r="H22" s="606" t="n"/>
      <c r="I22" s="606" t="n"/>
      <c r="J22" s="606" t="n"/>
      <c r="K22" s="606" t="n"/>
      <c r="L22" s="606" t="n"/>
      <c r="M22" s="606" t="n"/>
      <c r="N22" s="606" t="n"/>
      <c r="O22" s="606" t="n"/>
      <c r="P22" s="606" t="n"/>
      <c r="Q22" s="606" t="n"/>
      <c r="R22" s="606" t="n"/>
      <c r="S22" s="606" t="n"/>
      <c r="T22" s="606" t="n"/>
      <c r="U22" s="606" t="n"/>
      <c r="V22" s="606" t="n"/>
      <c r="W22" s="606" t="n"/>
      <c r="X22" s="606" t="n"/>
      <c r="Y22" s="606" t="n"/>
      <c r="Z22" s="606" t="n"/>
      <c r="AA22" s="606" t="n"/>
      <c r="AB22" s="606" t="n"/>
    </row>
    <row r="23" ht="27" customFormat="1" customHeight="1" s="623">
      <c r="A23" s="625" t="inlineStr">
        <is>
          <t>GR185</t>
        </is>
      </c>
      <c r="B23" s="606" t="n"/>
      <c r="C23" s="606" t="n"/>
      <c r="D23" s="606" t="n"/>
      <c r="E23" s="606" t="n"/>
      <c r="F23" s="606" t="n"/>
      <c r="G23" s="606" t="n"/>
      <c r="H23" s="606" t="n"/>
      <c r="I23" s="606" t="n"/>
      <c r="J23" s="606" t="n"/>
      <c r="K23" s="606" t="n"/>
      <c r="L23" s="606" t="n"/>
      <c r="M23" s="606" t="n"/>
      <c r="N23" s="606" t="n"/>
      <c r="O23" s="606" t="n"/>
      <c r="P23" s="606" t="n"/>
      <c r="Q23" s="606" t="n"/>
      <c r="R23" s="606" t="n"/>
      <c r="S23" s="606" t="n"/>
      <c r="T23" s="606" t="n"/>
      <c r="U23" s="606" t="n"/>
      <c r="V23" s="606" t="n"/>
      <c r="W23" s="606" t="n"/>
      <c r="X23" s="606" t="n"/>
      <c r="Y23" s="606" t="n"/>
      <c r="Z23" s="606" t="n"/>
      <c r="AA23" s="606" t="n"/>
      <c r="AB23" s="606" t="n"/>
    </row>
    <row r="24" ht="27" customFormat="1" customHeight="1" s="623">
      <c r="A24" s="625" t="inlineStr">
        <is>
          <t>GR186</t>
        </is>
      </c>
      <c r="B24" s="606" t="n"/>
      <c r="C24" s="606" t="n"/>
      <c r="D24" s="606" t="n"/>
      <c r="E24" s="606" t="n"/>
      <c r="F24" s="606" t="n"/>
      <c r="G24" s="606" t="n"/>
      <c r="H24" s="606" t="n"/>
      <c r="I24" s="606" t="n"/>
      <c r="J24" s="606" t="n"/>
      <c r="K24" s="606" t="n"/>
      <c r="L24" s="606" t="n"/>
      <c r="M24" s="606" t="n"/>
      <c r="N24" s="606" t="n"/>
      <c r="O24" s="606" t="n"/>
      <c r="P24" s="606" t="n"/>
      <c r="Q24" s="606" t="n"/>
      <c r="R24" s="606" t="n"/>
      <c r="S24" s="606" t="n"/>
      <c r="T24" s="606" t="n"/>
      <c r="U24" s="606" t="n"/>
      <c r="V24" s="606" t="n"/>
      <c r="W24" s="606" t="n"/>
      <c r="X24" s="606" t="n"/>
      <c r="Y24" s="606" t="n"/>
      <c r="Z24" s="606" t="n"/>
      <c r="AA24" s="606" t="n"/>
      <c r="AB24" s="606" t="n"/>
    </row>
    <row r="25" ht="27" customFormat="1" customHeight="1" s="623">
      <c r="A25" s="625" t="inlineStr">
        <is>
          <t>GR187</t>
        </is>
      </c>
      <c r="B25" s="606" t="n"/>
      <c r="C25" s="606" t="n"/>
      <c r="D25" s="606" t="n"/>
      <c r="E25" s="606" t="n"/>
      <c r="F25" s="606" t="n"/>
      <c r="G25" s="606" t="n"/>
      <c r="H25" s="606" t="n"/>
      <c r="I25" s="606" t="n"/>
      <c r="J25" s="606" t="n"/>
      <c r="K25" s="606" t="n"/>
      <c r="L25" s="606" t="n"/>
      <c r="M25" s="606" t="n"/>
      <c r="N25" s="606" t="n"/>
      <c r="O25" s="606" t="n"/>
      <c r="P25" s="606" t="n"/>
      <c r="Q25" s="606" t="n"/>
      <c r="R25" s="606" t="n"/>
      <c r="S25" s="606" t="n"/>
      <c r="T25" s="606" t="n"/>
      <c r="U25" s="606" t="n"/>
      <c r="V25" s="606" t="n"/>
      <c r="W25" s="606" t="n"/>
      <c r="X25" s="606" t="n"/>
      <c r="Y25" s="606" t="n"/>
      <c r="Z25" s="606" t="n"/>
      <c r="AA25" s="606" t="n"/>
      <c r="AB25" s="606" t="n"/>
    </row>
    <row r="26" ht="27" customFormat="1" customHeight="1" s="623">
      <c r="A26" s="625" t="inlineStr">
        <is>
          <t>GR188</t>
        </is>
      </c>
      <c r="B26" s="606" t="n"/>
      <c r="C26" s="606" t="n"/>
      <c r="D26" s="606" t="n"/>
      <c r="E26" s="606" t="n"/>
      <c r="F26" s="606" t="n"/>
      <c r="G26" s="606" t="n"/>
      <c r="H26" s="606" t="n"/>
      <c r="I26" s="606" t="n"/>
      <c r="J26" s="606" t="n"/>
      <c r="K26" s="606" t="n"/>
      <c r="L26" s="606" t="n"/>
      <c r="M26" s="606" t="n"/>
      <c r="N26" s="606" t="n"/>
      <c r="O26" s="606" t="n"/>
      <c r="P26" s="606" t="n"/>
      <c r="Q26" s="606" t="n"/>
      <c r="R26" s="606" t="n"/>
      <c r="S26" s="606" t="n"/>
      <c r="T26" s="606" t="n"/>
      <c r="U26" s="606" t="n"/>
      <c r="V26" s="606" t="n"/>
      <c r="W26" s="606" t="n"/>
      <c r="X26" s="606" t="n"/>
      <c r="Y26" s="606" t="n"/>
      <c r="Z26" s="606" t="n"/>
      <c r="AA26" s="606" t="n"/>
      <c r="AB26" s="606" t="n"/>
    </row>
    <row r="27" ht="27" customFormat="1" customHeight="1" s="623">
      <c r="A27" s="625" t="inlineStr">
        <is>
          <t>GR189</t>
        </is>
      </c>
      <c r="B27" s="606" t="n"/>
      <c r="C27" s="606" t="n"/>
      <c r="D27" s="606" t="n"/>
      <c r="E27" s="606" t="n"/>
      <c r="F27" s="606" t="n"/>
      <c r="G27" s="606" t="n"/>
      <c r="H27" s="606" t="n"/>
      <c r="I27" s="606" t="n"/>
      <c r="J27" s="606" t="n"/>
      <c r="K27" s="606" t="n"/>
      <c r="L27" s="606" t="n"/>
      <c r="M27" s="606" t="n"/>
      <c r="N27" s="606" t="n"/>
      <c r="O27" s="606" t="n"/>
      <c r="P27" s="606" t="n"/>
      <c r="Q27" s="606" t="n"/>
      <c r="R27" s="606" t="n"/>
      <c r="S27" s="606" t="n"/>
      <c r="T27" s="606" t="n"/>
      <c r="U27" s="606" t="n"/>
      <c r="V27" s="606" t="n"/>
      <c r="W27" s="606" t="n"/>
      <c r="X27" s="606" t="n"/>
      <c r="Y27" s="606" t="n"/>
      <c r="Z27" s="606" t="n"/>
      <c r="AA27" s="606" t="n"/>
      <c r="AB27" s="606" t="n"/>
    </row>
    <row r="28" ht="27" customFormat="1" customHeight="1" s="623">
      <c r="A28" s="625" t="inlineStr">
        <is>
          <t>GR190</t>
        </is>
      </c>
      <c r="B28" s="606" t="n"/>
      <c r="C28" s="606" t="n"/>
      <c r="D28" s="606" t="n"/>
      <c r="E28" s="606" t="n"/>
      <c r="F28" s="606" t="n"/>
      <c r="G28" s="606" t="n"/>
      <c r="H28" s="606" t="n"/>
      <c r="I28" s="606" t="n"/>
      <c r="J28" s="606" t="n"/>
      <c r="K28" s="606" t="n"/>
      <c r="L28" s="606" t="n"/>
      <c r="M28" s="606" t="n"/>
      <c r="N28" s="606" t="n"/>
      <c r="O28" s="606" t="n"/>
      <c r="P28" s="606" t="n"/>
      <c r="Q28" s="606" t="n"/>
      <c r="R28" s="606" t="n"/>
      <c r="S28" s="606" t="n"/>
      <c r="T28" s="606" t="n"/>
      <c r="U28" s="606" t="n"/>
      <c r="V28" s="606" t="n"/>
      <c r="W28" s="606" t="n"/>
      <c r="X28" s="606" t="n"/>
      <c r="Y28" s="606" t="n"/>
      <c r="Z28" s="606" t="n"/>
      <c r="AA28" s="606" t="n"/>
      <c r="AB28" s="606" t="n"/>
    </row>
    <row r="29" ht="27" customFormat="1" customHeight="1" s="623">
      <c r="A29" s="625" t="inlineStr">
        <is>
          <t>GR191</t>
        </is>
      </c>
      <c r="B29" s="606" t="n"/>
      <c r="C29" s="606" t="n"/>
      <c r="D29" s="606" t="n"/>
      <c r="E29" s="606" t="n"/>
      <c r="F29" s="606" t="n"/>
      <c r="G29" s="606" t="n"/>
      <c r="H29" s="606" t="n"/>
      <c r="I29" s="606" t="n"/>
      <c r="J29" s="606" t="n"/>
      <c r="K29" s="606" t="n"/>
      <c r="L29" s="606" t="n"/>
      <c r="M29" s="606" t="n"/>
      <c r="N29" s="606" t="n"/>
      <c r="O29" s="606" t="n"/>
      <c r="P29" s="606" t="n"/>
      <c r="Q29" s="606" t="n"/>
      <c r="R29" s="606" t="n"/>
      <c r="S29" s="606" t="n"/>
      <c r="T29" s="606" t="n"/>
      <c r="U29" s="606" t="n"/>
      <c r="V29" s="606" t="n"/>
      <c r="W29" s="606" t="n"/>
      <c r="X29" s="606" t="n"/>
      <c r="Y29" s="606" t="n"/>
      <c r="Z29" s="606" t="n"/>
      <c r="AA29" s="606" t="n"/>
      <c r="AB29" s="606" t="n"/>
    </row>
    <row r="30" ht="27" customFormat="1" customHeight="1" s="623">
      <c r="A30" s="625" t="inlineStr">
        <is>
          <t>GR192</t>
        </is>
      </c>
      <c r="B30" s="606" t="n"/>
      <c r="C30" s="606" t="n"/>
      <c r="D30" s="606" t="n"/>
      <c r="E30" s="606" t="n"/>
      <c r="F30" s="606" t="n"/>
      <c r="G30" s="606" t="n"/>
      <c r="H30" s="606" t="n"/>
      <c r="I30" s="606" t="n"/>
      <c r="J30" s="606" t="n"/>
      <c r="K30" s="606" t="n"/>
      <c r="L30" s="606" t="n"/>
      <c r="M30" s="606" t="n"/>
      <c r="N30" s="606" t="n"/>
      <c r="O30" s="606" t="n"/>
      <c r="P30" s="606" t="n"/>
      <c r="Q30" s="606" t="n"/>
      <c r="R30" s="606" t="n"/>
      <c r="S30" s="606" t="n"/>
      <c r="T30" s="606" t="n"/>
      <c r="U30" s="606" t="n"/>
      <c r="V30" s="606" t="n"/>
      <c r="W30" s="606" t="n"/>
      <c r="X30" s="606" t="n"/>
      <c r="Y30" s="606" t="n"/>
      <c r="Z30" s="606" t="n"/>
      <c r="AA30" s="606" t="n"/>
      <c r="AB30" s="606" t="n"/>
    </row>
    <row r="31" ht="20" customFormat="1" customHeight="1" s="627">
      <c r="A31" s="625" t="inlineStr">
        <is>
          <t>GR193</t>
        </is>
      </c>
      <c r="B31" s="857" t="n"/>
      <c r="C31" s="905" t="n"/>
      <c r="D31" s="626" t="n"/>
      <c r="E31" s="626" t="n"/>
      <c r="F31" s="626" t="n"/>
      <c r="G31" s="626" t="n"/>
      <c r="H31" s="626" t="n"/>
      <c r="I31" s="626" t="n"/>
      <c r="J31" s="626" t="n"/>
      <c r="K31" s="626" t="n"/>
      <c r="L31" s="626" t="n"/>
      <c r="M31" s="626" t="n"/>
      <c r="N31" s="626" t="n"/>
      <c r="O31" s="626" t="n"/>
      <c r="P31" s="626" t="n"/>
      <c r="Q31" s="626" t="n"/>
      <c r="R31" s="626" t="n"/>
      <c r="S31" s="626" t="n"/>
      <c r="T31" s="626" t="n"/>
      <c r="U31" s="626" t="n"/>
      <c r="V31" s="626" t="n"/>
      <c r="W31" s="626" t="n"/>
      <c r="X31" s="626" t="n"/>
      <c r="Y31" s="626" t="n"/>
      <c r="Z31" s="626" t="n"/>
      <c r="AA31" s="626" t="n"/>
      <c r="AB31" s="62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650w/8byCDJXQZavQfNbQ==" formatRows="1" sort="1" spinCount="100000" hashValue="uLTQUjyr2kbNtrpj3UDifv9rXLrA9CefsuUF6gdEceJSLaM4/NnIOQHITWZFxx7REH3NWuvitbH9uVnK4O0tUg=="/>
  <mergeCells count="6">
    <mergeCell ref="D9:AA9"/>
    <mergeCell ref="A1:Z1"/>
    <mergeCell ref="A9:A10"/>
    <mergeCell ref="AB9:AB10"/>
    <mergeCell ref="B31:C31"/>
    <mergeCell ref="B9:C9"/>
  </mergeCells>
  <pageMargins left="0.708333333333333" right="0.708333333333333" top="0.747916666666667" bottom="0.747916666666667" header="0.511811023622047" footer="0.315277777777778"/>
  <pageSetup orientation="landscape" paperSize="9" scale="31" horizontalDpi="300" verticalDpi="300"/>
  <headerFooter>
    <oddHeader/>
    <oddFooter>&amp;R&amp;P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I70"/>
  <sheetViews>
    <sheetView view="pageBreakPreview" topLeftCell="A60" zoomScale="90" zoomScaleNormal="80" zoomScaleSheetLayoutView="90" workbookViewId="0">
      <selection activeCell="J69" sqref="J69"/>
    </sheetView>
  </sheetViews>
  <sheetFormatPr baseColWidth="10" defaultColWidth="10" defaultRowHeight="20.25" customHeight="1"/>
  <cols>
    <col collapsed="1" width="10.90625" customWidth="1" style="409" min="1" max="1"/>
    <col collapsed="1" width="23.90625" customWidth="1" style="409" min="2" max="2"/>
    <col collapsed="1" width="35.36328125" customWidth="1" style="409" min="3" max="3"/>
    <col collapsed="1" width="19.6328125" customWidth="1" style="409" min="4" max="4"/>
    <col collapsed="1" width="27.81640625" customWidth="1" style="409" min="5" max="5"/>
    <col collapsed="1" width="17" customWidth="1" style="409" min="6" max="10"/>
    <col collapsed="1" width="10" customWidth="1" style="409" min="11" max="16384"/>
  </cols>
  <sheetData>
    <row r="1" ht="29.25" customHeight="1" s="885">
      <c r="A1" s="807" t="inlineStr">
        <is>
          <t xml:space="preserve">DECLARATION DES CINQUANTE PLUS GROS ENGAGEMENTS 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983" t="inlineStr">
        <is>
          <t>EP32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409" t="n"/>
      <c r="L2" s="409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</row>
    <row r="3" ht="20" customFormat="1" customHeight="1" s="416">
      <c r="B3" s="417" t="n"/>
      <c r="E3" s="986" t="n"/>
      <c r="F3" s="986" t="n"/>
      <c r="G3" s="986" t="n"/>
      <c r="H3" s="986" t="n"/>
      <c r="I3" s="986" t="n"/>
      <c r="J3" s="986" t="n"/>
    </row>
    <row r="4" ht="9.75" customFormat="1" customHeight="1" s="416">
      <c r="A4" s="417" t="n"/>
      <c r="C4" s="986" t="n"/>
      <c r="E4" s="986" t="n"/>
      <c r="F4" s="986" t="n"/>
      <c r="G4" s="986" t="n"/>
      <c r="H4" s="986" t="n"/>
      <c r="I4" s="986" t="n"/>
      <c r="J4" s="986" t="n"/>
    </row>
    <row r="5" ht="20" customFormat="1" customHeight="1" s="416">
      <c r="A5" s="417" t="n"/>
      <c r="C5" s="986" t="n"/>
      <c r="E5" s="986" t="n"/>
      <c r="F5" s="986" t="n"/>
      <c r="G5" s="986" t="n"/>
      <c r="H5" s="986" t="n"/>
      <c r="I5" s="986" t="n"/>
      <c r="J5" s="986" t="n"/>
    </row>
    <row r="6" ht="20" customFormat="1" customHeight="1" s="416">
      <c r="C6" s="986" t="n"/>
      <c r="E6" s="986" t="n"/>
      <c r="F6" s="986" t="n"/>
      <c r="G6" s="986" t="n"/>
      <c r="H6" s="986" t="n"/>
      <c r="I6" s="986" t="n"/>
      <c r="J6" s="986" t="n"/>
    </row>
    <row r="7" ht="20.5" customHeight="1" s="885">
      <c r="A7" s="628" t="n"/>
      <c r="B7" s="628" t="n"/>
      <c r="C7" s="628" t="n"/>
      <c r="D7" s="628" t="n"/>
      <c r="E7" s="628" t="n"/>
    </row>
    <row r="8" ht="20.5" customHeight="1" s="885">
      <c r="A8" s="628" t="n"/>
      <c r="B8" s="628" t="n"/>
      <c r="C8" s="628" t="n"/>
      <c r="D8" s="628" t="n"/>
      <c r="E8" s="628" t="n"/>
    </row>
    <row r="9" ht="18" customFormat="1" customHeight="1" s="422">
      <c r="A9" s="1016" t="inlineStr">
        <is>
          <t>Code DISPRU</t>
        </is>
      </c>
      <c r="B9" s="1017" t="inlineStr">
        <is>
          <t>CONTREPARTIE</t>
        </is>
      </c>
      <c r="C9" s="928" t="n"/>
      <c r="D9" s="928" t="n"/>
      <c r="E9" s="929" t="n"/>
      <c r="F9" s="1018" t="inlineStr">
        <is>
          <t xml:space="preserve">Encours brut des crédits *        </t>
        </is>
      </c>
      <c r="G9" s="1018" t="inlineStr">
        <is>
          <t xml:space="preserve">Provisions constituées* </t>
        </is>
      </c>
      <c r="H9" s="1018" t="inlineStr">
        <is>
          <t>Montant net</t>
        </is>
      </c>
      <c r="I9" s="1018" t="inlineStr">
        <is>
          <t>Engagements hors bilan</t>
        </is>
      </c>
      <c r="J9" s="1018" t="inlineStr">
        <is>
          <t xml:space="preserve">Total **       </t>
        </is>
      </c>
    </row>
    <row r="10" ht="12" customHeight="1" s="885">
      <c r="A10" s="958" t="n"/>
      <c r="B10" s="959" t="n"/>
      <c r="C10" s="886" t="n"/>
      <c r="D10" s="886" t="n"/>
      <c r="E10" s="957" t="n"/>
      <c r="F10" s="958" t="n"/>
      <c r="G10" s="958" t="n"/>
      <c r="H10" s="958" t="n"/>
      <c r="I10" s="958" t="n"/>
      <c r="J10" s="958" t="n"/>
    </row>
    <row r="11" ht="25.5" customFormat="1" customHeight="1" s="629">
      <c r="A11" s="958" t="n"/>
      <c r="B11" s="959" t="n"/>
      <c r="C11" s="886" t="n"/>
      <c r="D11" s="886" t="n"/>
      <c r="E11" s="957" t="n"/>
      <c r="F11" s="958" t="n"/>
      <c r="G11" s="958" t="n"/>
      <c r="H11" s="958" t="n"/>
      <c r="I11" s="958" t="n"/>
      <c r="J11" s="958" t="n"/>
    </row>
    <row r="12" ht="30" customHeight="1" s="885">
      <c r="A12" s="958" t="n"/>
      <c r="B12" s="959" t="n"/>
      <c r="C12" s="886" t="n"/>
      <c r="D12" s="886" t="n"/>
      <c r="E12" s="957" t="n"/>
      <c r="F12" s="958" t="n"/>
      <c r="G12" s="958" t="n"/>
      <c r="H12" s="958" t="n"/>
      <c r="I12" s="958" t="n"/>
      <c r="J12" s="958" t="n"/>
    </row>
    <row r="13" ht="30" customHeight="1" s="885">
      <c r="A13" s="958" t="n"/>
      <c r="B13" s="962" t="n"/>
      <c r="C13" s="956" t="n"/>
      <c r="D13" s="956" t="n"/>
      <c r="E13" s="897" t="n"/>
      <c r="F13" s="958" t="n"/>
      <c r="G13" s="958" t="n"/>
      <c r="H13" s="958" t="n"/>
      <c r="I13" s="958" t="n"/>
      <c r="J13" s="958" t="n"/>
    </row>
    <row r="14" ht="30" customHeight="1" s="885">
      <c r="A14" s="958" t="n"/>
      <c r="B14" s="1017" t="inlineStr">
        <is>
          <t>No d'identification Centrale des risques (groupe)</t>
        </is>
      </c>
      <c r="C14" s="1017" t="inlineStr">
        <is>
          <t>Nom</t>
        </is>
      </c>
      <c r="D14" s="1017" t="inlineStr">
        <is>
          <t>Pays de résidence</t>
        </is>
      </c>
      <c r="E14" s="1017" t="inlineStr">
        <is>
          <t>Secteur d'activités</t>
        </is>
      </c>
      <c r="F14" s="958" t="n"/>
      <c r="G14" s="958" t="n"/>
      <c r="H14" s="958" t="n"/>
      <c r="I14" s="958" t="n"/>
      <c r="J14" s="958" t="n"/>
    </row>
    <row r="15" ht="17.25" customHeight="1" s="885">
      <c r="A15" s="958" t="n"/>
      <c r="B15" s="958" t="n"/>
      <c r="C15" s="958" t="n"/>
      <c r="D15" s="958" t="n"/>
      <c r="E15" s="958" t="n"/>
      <c r="F15" s="958" t="n"/>
      <c r="G15" s="958" t="n"/>
      <c r="H15" s="958" t="n"/>
      <c r="I15" s="958" t="n"/>
      <c r="J15" s="958" t="n"/>
    </row>
    <row r="16" ht="13.5" customFormat="1" customHeight="1" s="420">
      <c r="A16" s="958" t="n"/>
      <c r="B16" s="896" t="n"/>
      <c r="C16" s="896" t="n"/>
      <c r="D16" s="896" t="n"/>
      <c r="E16" s="896" t="n"/>
      <c r="F16" s="896" t="n"/>
      <c r="G16" s="896" t="n"/>
      <c r="H16" s="896" t="n"/>
      <c r="I16" s="896" t="n"/>
      <c r="J16" s="896" t="n"/>
    </row>
    <row r="17" ht="26.25" customFormat="1" customHeight="1" s="420">
      <c r="A17" s="1019" t="n"/>
      <c r="B17" s="1017" t="n"/>
      <c r="C17" s="894" t="n"/>
      <c r="D17" s="894" t="n"/>
      <c r="E17" s="895" t="n"/>
      <c r="F17" s="631" t="inlineStr">
        <is>
          <t>(a)</t>
        </is>
      </c>
      <c r="G17" s="631" t="inlineStr">
        <is>
          <t>(b)</t>
        </is>
      </c>
      <c r="H17" s="631" t="inlineStr">
        <is>
          <t>(c) = (a) - (b)</t>
        </is>
      </c>
      <c r="I17" s="631" t="inlineStr">
        <is>
          <t>(d)</t>
        </is>
      </c>
      <c r="J17" s="631" t="inlineStr">
        <is>
          <t>(e) = (c) + (d)</t>
        </is>
      </c>
    </row>
    <row r="18" ht="30" customHeight="1" s="885">
      <c r="A18" s="613" t="inlineStr">
        <is>
          <t>GR194</t>
        </is>
      </c>
      <c r="B18" s="606" t="inlineStr">
        <is>
          <t> </t>
        </is>
      </c>
      <c r="C18" s="606" t="n"/>
      <c r="D18" s="606" t="n"/>
      <c r="E18" s="606" t="n"/>
      <c r="F18" s="429" t="n"/>
      <c r="G18" s="429" t="n"/>
      <c r="H18" s="429" t="n"/>
      <c r="I18" s="429" t="n"/>
      <c r="J18" s="429" t="n"/>
    </row>
    <row r="19" ht="30" customHeight="1" s="885">
      <c r="A19" s="613" t="inlineStr">
        <is>
          <t>GR195</t>
        </is>
      </c>
      <c r="B19" s="606" t="inlineStr">
        <is>
          <t> </t>
        </is>
      </c>
      <c r="C19" s="606" t="n"/>
      <c r="D19" s="606" t="n"/>
      <c r="E19" s="606" t="n"/>
      <c r="F19" s="429" t="n"/>
      <c r="G19" s="429" t="n"/>
      <c r="H19" s="429" t="n"/>
      <c r="I19" s="429" t="n"/>
      <c r="J19" s="429" t="n"/>
    </row>
    <row r="20" ht="30" customFormat="1" customHeight="1" s="420">
      <c r="A20" s="613" t="inlineStr">
        <is>
          <t>GR196</t>
        </is>
      </c>
      <c r="B20" s="606" t="inlineStr">
        <is>
          <t> </t>
        </is>
      </c>
      <c r="C20" s="606" t="n"/>
      <c r="D20" s="606" t="n"/>
      <c r="E20" s="606" t="n"/>
      <c r="F20" s="429" t="n"/>
      <c r="G20" s="429" t="n"/>
      <c r="H20" s="429" t="n"/>
      <c r="I20" s="429" t="n"/>
      <c r="J20" s="429" t="n"/>
    </row>
    <row r="21" ht="30" customFormat="1" customHeight="1" s="420">
      <c r="A21" s="613" t="inlineStr">
        <is>
          <t>GR197</t>
        </is>
      </c>
      <c r="B21" s="606" t="inlineStr">
        <is>
          <t> </t>
        </is>
      </c>
      <c r="C21" s="606" t="n"/>
      <c r="D21" s="606" t="n"/>
      <c r="E21" s="606" t="n"/>
      <c r="F21" s="429" t="n"/>
      <c r="G21" s="429" t="n"/>
      <c r="H21" s="429" t="n"/>
      <c r="I21" s="429" t="n"/>
      <c r="J21" s="429" t="n"/>
    </row>
    <row r="22" ht="30" customFormat="1" customHeight="1" s="420">
      <c r="A22" s="613" t="inlineStr">
        <is>
          <t>GR198</t>
        </is>
      </c>
      <c r="B22" s="606" t="inlineStr">
        <is>
          <t> </t>
        </is>
      </c>
      <c r="C22" s="606" t="n"/>
      <c r="D22" s="606" t="n"/>
      <c r="E22" s="606" t="n"/>
      <c r="F22" s="429" t="n"/>
      <c r="G22" s="429" t="n"/>
      <c r="H22" s="429" t="n"/>
      <c r="I22" s="429" t="n"/>
      <c r="J22" s="429" t="n"/>
    </row>
    <row r="23" ht="30" customFormat="1" customHeight="1" s="420">
      <c r="A23" s="613" t="inlineStr">
        <is>
          <t>GR199</t>
        </is>
      </c>
      <c r="B23" s="606" t="inlineStr">
        <is>
          <t> </t>
        </is>
      </c>
      <c r="C23" s="606" t="n"/>
      <c r="D23" s="606" t="n"/>
      <c r="E23" s="606" t="n"/>
      <c r="F23" s="429" t="n"/>
      <c r="G23" s="429" t="n"/>
      <c r="H23" s="429" t="n"/>
      <c r="I23" s="429" t="n"/>
      <c r="J23" s="429" t="n"/>
    </row>
    <row r="24" ht="30" customFormat="1" customHeight="1" s="420">
      <c r="A24" s="613" t="inlineStr">
        <is>
          <t>GR200</t>
        </is>
      </c>
      <c r="B24" s="606" t="inlineStr">
        <is>
          <t> </t>
        </is>
      </c>
      <c r="C24" s="606" t="n"/>
      <c r="D24" s="606" t="n"/>
      <c r="E24" s="606" t="n"/>
      <c r="F24" s="429" t="n"/>
      <c r="G24" s="429" t="n"/>
      <c r="H24" s="429" t="n"/>
      <c r="I24" s="429" t="n"/>
      <c r="J24" s="429" t="n"/>
    </row>
    <row r="25" ht="30" customFormat="1" customHeight="1" s="420">
      <c r="A25" s="613" t="inlineStr">
        <is>
          <t>GR201</t>
        </is>
      </c>
      <c r="B25" s="606" t="inlineStr">
        <is>
          <t> </t>
        </is>
      </c>
      <c r="C25" s="606" t="n"/>
      <c r="D25" s="606" t="n"/>
      <c r="E25" s="606" t="n"/>
      <c r="F25" s="429" t="n"/>
      <c r="G25" s="429" t="n"/>
      <c r="H25" s="429" t="n"/>
      <c r="I25" s="429" t="n"/>
      <c r="J25" s="429" t="n"/>
    </row>
    <row r="26" ht="30" customFormat="1" customHeight="1" s="420">
      <c r="A26" s="613" t="inlineStr">
        <is>
          <t>GR202</t>
        </is>
      </c>
      <c r="B26" s="606" t="inlineStr">
        <is>
          <t> </t>
        </is>
      </c>
      <c r="C26" s="606" t="n"/>
      <c r="D26" s="606" t="n"/>
      <c r="E26" s="606" t="n"/>
      <c r="F26" s="429" t="n"/>
      <c r="G26" s="429" t="n"/>
      <c r="H26" s="429" t="n"/>
      <c r="I26" s="429" t="n"/>
      <c r="J26" s="429" t="n"/>
    </row>
    <row r="27" ht="30" customFormat="1" customHeight="1" s="420">
      <c r="A27" s="613" t="inlineStr">
        <is>
          <t>GR203</t>
        </is>
      </c>
      <c r="B27" s="606" t="inlineStr">
        <is>
          <t> </t>
        </is>
      </c>
      <c r="C27" s="606" t="n"/>
      <c r="D27" s="606" t="n"/>
      <c r="E27" s="606" t="n"/>
      <c r="F27" s="429" t="n"/>
      <c r="G27" s="429" t="n"/>
      <c r="H27" s="429" t="n"/>
      <c r="I27" s="429" t="n"/>
      <c r="J27" s="429" t="n"/>
    </row>
    <row r="28" ht="30" customFormat="1" customHeight="1" s="420">
      <c r="A28" s="613" t="inlineStr">
        <is>
          <t>GR204</t>
        </is>
      </c>
      <c r="B28" s="606" t="inlineStr">
        <is>
          <t> </t>
        </is>
      </c>
      <c r="C28" s="606" t="n"/>
      <c r="D28" s="606" t="n"/>
      <c r="E28" s="606" t="n"/>
      <c r="F28" s="429" t="n"/>
      <c r="G28" s="429" t="n"/>
      <c r="H28" s="429" t="n"/>
      <c r="I28" s="429" t="n"/>
      <c r="J28" s="429" t="n"/>
    </row>
    <row r="29" ht="30" customFormat="1" customHeight="1" s="420">
      <c r="A29" s="613" t="inlineStr">
        <is>
          <t>GR205</t>
        </is>
      </c>
      <c r="B29" s="606" t="inlineStr">
        <is>
          <t> </t>
        </is>
      </c>
      <c r="C29" s="606" t="n"/>
      <c r="D29" s="606" t="n"/>
      <c r="E29" s="606" t="n"/>
      <c r="F29" s="429" t="n"/>
      <c r="G29" s="429" t="n"/>
      <c r="H29" s="429" t="n"/>
      <c r="I29" s="429" t="n"/>
      <c r="J29" s="429" t="n"/>
    </row>
    <row r="30" ht="30" customFormat="1" customHeight="1" s="420">
      <c r="A30" s="613" t="inlineStr">
        <is>
          <t>GR206</t>
        </is>
      </c>
      <c r="B30" s="606" t="inlineStr">
        <is>
          <t> </t>
        </is>
      </c>
      <c r="C30" s="606" t="n"/>
      <c r="D30" s="606" t="n"/>
      <c r="E30" s="606" t="n"/>
      <c r="F30" s="429" t="n"/>
      <c r="G30" s="429" t="n"/>
      <c r="H30" s="429" t="n"/>
      <c r="I30" s="429" t="n"/>
      <c r="J30" s="429" t="n"/>
    </row>
    <row r="31" ht="30" customFormat="1" customHeight="1" s="420">
      <c r="A31" s="613" t="inlineStr">
        <is>
          <t>GR207</t>
        </is>
      </c>
      <c r="B31" s="606" t="inlineStr">
        <is>
          <t> </t>
        </is>
      </c>
      <c r="C31" s="606" t="n"/>
      <c r="D31" s="606" t="n"/>
      <c r="E31" s="606" t="n"/>
      <c r="F31" s="429" t="n"/>
      <c r="G31" s="429" t="n"/>
      <c r="H31" s="429" t="n"/>
      <c r="I31" s="429" t="n"/>
      <c r="J31" s="429" t="n"/>
    </row>
    <row r="32" ht="30" customFormat="1" customHeight="1" s="420">
      <c r="A32" s="613" t="inlineStr">
        <is>
          <t>GR208</t>
        </is>
      </c>
      <c r="B32" s="606" t="inlineStr">
        <is>
          <t> </t>
        </is>
      </c>
      <c r="C32" s="606" t="n"/>
      <c r="D32" s="606" t="n"/>
      <c r="E32" s="606" t="n"/>
      <c r="F32" s="429" t="n"/>
      <c r="G32" s="429" t="n"/>
      <c r="H32" s="429" t="n"/>
      <c r="I32" s="429" t="n"/>
      <c r="J32" s="429" t="n"/>
    </row>
    <row r="33" ht="30" customFormat="1" customHeight="1" s="420">
      <c r="A33" s="613" t="inlineStr">
        <is>
          <t>GR209</t>
        </is>
      </c>
      <c r="B33" s="606" t="inlineStr">
        <is>
          <t> </t>
        </is>
      </c>
      <c r="C33" s="606" t="n"/>
      <c r="D33" s="606" t="n"/>
      <c r="E33" s="606" t="n"/>
      <c r="F33" s="429" t="n"/>
      <c r="G33" s="429" t="n"/>
      <c r="H33" s="429" t="n"/>
      <c r="I33" s="429" t="n"/>
      <c r="J33" s="429" t="n"/>
    </row>
    <row r="34" ht="30" customFormat="1" customHeight="1" s="420">
      <c r="A34" s="613" t="inlineStr">
        <is>
          <t>GR210</t>
        </is>
      </c>
      <c r="B34" s="606" t="inlineStr">
        <is>
          <t> </t>
        </is>
      </c>
      <c r="C34" s="606" t="n"/>
      <c r="D34" s="606" t="n"/>
      <c r="E34" s="606" t="n"/>
      <c r="F34" s="429" t="n"/>
      <c r="G34" s="429" t="n"/>
      <c r="H34" s="429" t="n"/>
      <c r="I34" s="429" t="n"/>
      <c r="J34" s="429" t="n"/>
    </row>
    <row r="35" ht="30" customFormat="1" customHeight="1" s="420">
      <c r="A35" s="613" t="inlineStr">
        <is>
          <t>GR211</t>
        </is>
      </c>
      <c r="B35" s="606" t="inlineStr">
        <is>
          <t> </t>
        </is>
      </c>
      <c r="C35" s="606" t="n"/>
      <c r="D35" s="606" t="n"/>
      <c r="E35" s="606" t="n"/>
      <c r="F35" s="429" t="n"/>
      <c r="G35" s="429" t="n"/>
      <c r="H35" s="429" t="n"/>
      <c r="I35" s="429" t="n"/>
      <c r="J35" s="429" t="n"/>
    </row>
    <row r="36" ht="30" customFormat="1" customHeight="1" s="420">
      <c r="A36" s="613" t="inlineStr">
        <is>
          <t>GR212</t>
        </is>
      </c>
      <c r="B36" s="606" t="inlineStr">
        <is>
          <t> </t>
        </is>
      </c>
      <c r="C36" s="606" t="n"/>
      <c r="D36" s="606" t="n"/>
      <c r="E36" s="606" t="n"/>
      <c r="F36" s="429" t="n"/>
      <c r="G36" s="429" t="n"/>
      <c r="H36" s="429" t="n"/>
      <c r="I36" s="429" t="n"/>
      <c r="J36" s="429" t="n"/>
    </row>
    <row r="37" ht="30" customFormat="1" customHeight="1" s="420">
      <c r="A37" s="613" t="inlineStr">
        <is>
          <t>GR213</t>
        </is>
      </c>
      <c r="B37" s="606" t="inlineStr">
        <is>
          <t> </t>
        </is>
      </c>
      <c r="C37" s="606" t="n"/>
      <c r="D37" s="606" t="n"/>
      <c r="E37" s="606" t="n"/>
      <c r="F37" s="429" t="n"/>
      <c r="G37" s="429" t="n"/>
      <c r="H37" s="429" t="n"/>
      <c r="I37" s="429" t="n"/>
      <c r="J37" s="429" t="n"/>
    </row>
    <row r="38" ht="30" customFormat="1" customHeight="1" s="420">
      <c r="A38" s="613" t="inlineStr">
        <is>
          <t>GR214</t>
        </is>
      </c>
      <c r="B38" s="606" t="inlineStr">
        <is>
          <t> </t>
        </is>
      </c>
      <c r="C38" s="606" t="n"/>
      <c r="D38" s="606" t="n"/>
      <c r="E38" s="606" t="n"/>
      <c r="F38" s="429" t="n"/>
      <c r="G38" s="429" t="n"/>
      <c r="H38" s="429" t="n"/>
      <c r="I38" s="429" t="n"/>
      <c r="J38" s="429" t="n"/>
    </row>
    <row r="39" ht="30" customFormat="1" customHeight="1" s="420">
      <c r="A39" s="613" t="inlineStr">
        <is>
          <t>GR215</t>
        </is>
      </c>
      <c r="B39" s="606" t="inlineStr">
        <is>
          <t> </t>
        </is>
      </c>
      <c r="C39" s="606" t="n"/>
      <c r="D39" s="606" t="n"/>
      <c r="E39" s="606" t="n"/>
      <c r="F39" s="429" t="n"/>
      <c r="G39" s="429" t="n"/>
      <c r="H39" s="429" t="n"/>
      <c r="I39" s="429" t="n"/>
      <c r="J39" s="429" t="n"/>
    </row>
    <row r="40" ht="30" customFormat="1" customHeight="1" s="420">
      <c r="A40" s="613" t="inlineStr">
        <is>
          <t>GR216</t>
        </is>
      </c>
      <c r="B40" s="606" t="inlineStr">
        <is>
          <t> </t>
        </is>
      </c>
      <c r="C40" s="606" t="n"/>
      <c r="D40" s="606" t="n"/>
      <c r="E40" s="606" t="n"/>
      <c r="F40" s="429" t="n"/>
      <c r="G40" s="429" t="n"/>
      <c r="H40" s="429" t="n"/>
      <c r="I40" s="429" t="n"/>
      <c r="J40" s="429" t="n"/>
    </row>
    <row r="41" ht="30" customFormat="1" customHeight="1" s="420">
      <c r="A41" s="613" t="inlineStr">
        <is>
          <t>GR217</t>
        </is>
      </c>
      <c r="B41" s="606" t="inlineStr">
        <is>
          <t> </t>
        </is>
      </c>
      <c r="C41" s="606" t="n"/>
      <c r="D41" s="606" t="n"/>
      <c r="E41" s="606" t="n"/>
      <c r="F41" s="429" t="n"/>
      <c r="G41" s="429" t="n"/>
      <c r="H41" s="429" t="n"/>
      <c r="I41" s="429" t="n"/>
      <c r="J41" s="429" t="n"/>
    </row>
    <row r="42" ht="30" customFormat="1" customHeight="1" s="420">
      <c r="A42" s="613" t="inlineStr">
        <is>
          <t>GR218</t>
        </is>
      </c>
      <c r="B42" s="606" t="inlineStr">
        <is>
          <t> </t>
        </is>
      </c>
      <c r="C42" s="606" t="n"/>
      <c r="D42" s="606" t="n"/>
      <c r="E42" s="606" t="n"/>
      <c r="F42" s="429" t="n"/>
      <c r="G42" s="429" t="n"/>
      <c r="H42" s="429" t="n"/>
      <c r="I42" s="429" t="n"/>
      <c r="J42" s="429" t="n"/>
    </row>
    <row r="43" ht="30" customFormat="1" customHeight="1" s="420">
      <c r="A43" s="613" t="inlineStr">
        <is>
          <t>GR219</t>
        </is>
      </c>
      <c r="B43" s="606" t="inlineStr">
        <is>
          <t> </t>
        </is>
      </c>
      <c r="C43" s="606" t="n"/>
      <c r="D43" s="606" t="n"/>
      <c r="E43" s="606" t="n"/>
      <c r="F43" s="429" t="n"/>
      <c r="G43" s="429" t="n"/>
      <c r="H43" s="429" t="n"/>
      <c r="I43" s="429" t="n"/>
      <c r="J43" s="429" t="n"/>
    </row>
    <row r="44" ht="30" customFormat="1" customHeight="1" s="420">
      <c r="A44" s="613" t="inlineStr">
        <is>
          <t>GR220</t>
        </is>
      </c>
      <c r="B44" s="606" t="inlineStr">
        <is>
          <t> </t>
        </is>
      </c>
      <c r="C44" s="606" t="n"/>
      <c r="D44" s="606" t="n"/>
      <c r="E44" s="606" t="n"/>
      <c r="F44" s="429" t="n"/>
      <c r="G44" s="429" t="n"/>
      <c r="H44" s="429" t="n"/>
      <c r="I44" s="429" t="n"/>
      <c r="J44" s="429" t="n"/>
    </row>
    <row r="45" ht="30" customFormat="1" customHeight="1" s="420">
      <c r="A45" s="613" t="inlineStr">
        <is>
          <t>GR221</t>
        </is>
      </c>
      <c r="B45" s="606" t="inlineStr">
        <is>
          <t> </t>
        </is>
      </c>
      <c r="C45" s="606" t="n"/>
      <c r="D45" s="606" t="n"/>
      <c r="E45" s="606" t="n"/>
      <c r="F45" s="429" t="n"/>
      <c r="G45" s="429" t="n"/>
      <c r="H45" s="429" t="n"/>
      <c r="I45" s="429" t="n"/>
      <c r="J45" s="429" t="n"/>
    </row>
    <row r="46" ht="30" customFormat="1" customHeight="1" s="420">
      <c r="A46" s="613" t="inlineStr">
        <is>
          <t>GR222</t>
        </is>
      </c>
      <c r="B46" s="606" t="inlineStr">
        <is>
          <t> </t>
        </is>
      </c>
      <c r="C46" s="606" t="n"/>
      <c r="D46" s="606" t="n"/>
      <c r="E46" s="606" t="n"/>
      <c r="F46" s="429" t="n"/>
      <c r="G46" s="429" t="n"/>
      <c r="H46" s="429" t="n"/>
      <c r="I46" s="429" t="n"/>
      <c r="J46" s="429" t="n"/>
    </row>
    <row r="47" ht="30" customFormat="1" customHeight="1" s="420">
      <c r="A47" s="613" t="inlineStr">
        <is>
          <t>GR223</t>
        </is>
      </c>
      <c r="B47" s="606" t="inlineStr">
        <is>
          <t> </t>
        </is>
      </c>
      <c r="C47" s="606" t="n"/>
      <c r="D47" s="606" t="n"/>
      <c r="E47" s="606" t="n"/>
      <c r="F47" s="429" t="n"/>
      <c r="G47" s="429" t="n"/>
      <c r="H47" s="429" t="n"/>
      <c r="I47" s="429" t="n"/>
      <c r="J47" s="429" t="n"/>
    </row>
    <row r="48" ht="30" customFormat="1" customHeight="1" s="420">
      <c r="A48" s="613" t="inlineStr">
        <is>
          <t>GR224</t>
        </is>
      </c>
      <c r="B48" s="606" t="inlineStr">
        <is>
          <t> </t>
        </is>
      </c>
      <c r="C48" s="606" t="n"/>
      <c r="D48" s="606" t="n"/>
      <c r="E48" s="606" t="n"/>
      <c r="F48" s="429" t="n"/>
      <c r="G48" s="429" t="n"/>
      <c r="H48" s="429" t="n"/>
      <c r="I48" s="429" t="n"/>
      <c r="J48" s="429" t="n"/>
    </row>
    <row r="49" ht="30" customFormat="1" customHeight="1" s="420">
      <c r="A49" s="613" t="inlineStr">
        <is>
          <t>GR225</t>
        </is>
      </c>
      <c r="B49" s="606" t="inlineStr">
        <is>
          <t> </t>
        </is>
      </c>
      <c r="C49" s="606" t="n"/>
      <c r="D49" s="606" t="n"/>
      <c r="E49" s="606" t="n"/>
      <c r="F49" s="429" t="n"/>
      <c r="G49" s="429" t="n"/>
      <c r="H49" s="429" t="n"/>
      <c r="I49" s="429" t="n"/>
      <c r="J49" s="429" t="n"/>
    </row>
    <row r="50" ht="30" customFormat="1" customHeight="1" s="420">
      <c r="A50" s="613" t="inlineStr">
        <is>
          <t>GR226</t>
        </is>
      </c>
      <c r="B50" s="606" t="inlineStr">
        <is>
          <t> </t>
        </is>
      </c>
      <c r="C50" s="606" t="n"/>
      <c r="D50" s="606" t="n"/>
      <c r="E50" s="606" t="n"/>
      <c r="F50" s="429" t="n"/>
      <c r="G50" s="429" t="n"/>
      <c r="H50" s="429" t="n"/>
      <c r="I50" s="429" t="n"/>
      <c r="J50" s="429" t="n"/>
    </row>
    <row r="51" ht="30" customFormat="1" customHeight="1" s="420">
      <c r="A51" s="613" t="inlineStr">
        <is>
          <t>GR227</t>
        </is>
      </c>
      <c r="B51" s="606" t="inlineStr">
        <is>
          <t> </t>
        </is>
      </c>
      <c r="C51" s="606" t="n"/>
      <c r="D51" s="606" t="n"/>
      <c r="E51" s="606" t="n"/>
      <c r="F51" s="429" t="n"/>
      <c r="G51" s="429" t="n"/>
      <c r="H51" s="429" t="n"/>
      <c r="I51" s="429" t="n"/>
      <c r="J51" s="429" t="n"/>
    </row>
    <row r="52" ht="30" customFormat="1" customHeight="1" s="420">
      <c r="A52" s="613" t="inlineStr">
        <is>
          <t>GR228</t>
        </is>
      </c>
      <c r="B52" s="606" t="inlineStr">
        <is>
          <t> </t>
        </is>
      </c>
      <c r="C52" s="606" t="n"/>
      <c r="D52" s="606" t="n"/>
      <c r="E52" s="606" t="n"/>
      <c r="F52" s="429" t="n"/>
      <c r="G52" s="429" t="n"/>
      <c r="H52" s="429" t="n"/>
      <c r="I52" s="429" t="n"/>
      <c r="J52" s="429" t="n"/>
    </row>
    <row r="53" ht="30" customFormat="1" customHeight="1" s="420">
      <c r="A53" s="613" t="inlineStr">
        <is>
          <t>GR229</t>
        </is>
      </c>
      <c r="B53" s="606" t="inlineStr">
        <is>
          <t> </t>
        </is>
      </c>
      <c r="C53" s="606" t="n"/>
      <c r="D53" s="606" t="n"/>
      <c r="E53" s="606" t="n"/>
      <c r="F53" s="429" t="n"/>
      <c r="G53" s="429" t="n"/>
      <c r="H53" s="429" t="n"/>
      <c r="I53" s="429" t="n"/>
      <c r="J53" s="429" t="n"/>
    </row>
    <row r="54" ht="30" customFormat="1" customHeight="1" s="420">
      <c r="A54" s="613" t="inlineStr">
        <is>
          <t>GR230</t>
        </is>
      </c>
      <c r="B54" s="606" t="inlineStr">
        <is>
          <t> </t>
        </is>
      </c>
      <c r="C54" s="606" t="n"/>
      <c r="D54" s="606" t="n"/>
      <c r="E54" s="606" t="n"/>
      <c r="F54" s="429" t="n"/>
      <c r="G54" s="429" t="n"/>
      <c r="H54" s="429" t="n"/>
      <c r="I54" s="429" t="n"/>
      <c r="J54" s="429" t="n"/>
    </row>
    <row r="55" ht="30" customFormat="1" customHeight="1" s="420">
      <c r="A55" s="613" t="inlineStr">
        <is>
          <t>GR231</t>
        </is>
      </c>
      <c r="B55" s="606" t="inlineStr">
        <is>
          <t> </t>
        </is>
      </c>
      <c r="C55" s="606" t="n"/>
      <c r="D55" s="606" t="n"/>
      <c r="E55" s="606" t="n"/>
      <c r="F55" s="429" t="n"/>
      <c r="G55" s="429" t="n"/>
      <c r="H55" s="429" t="n"/>
      <c r="I55" s="429" t="n"/>
      <c r="J55" s="429" t="n"/>
    </row>
    <row r="56" ht="30" customFormat="1" customHeight="1" s="420">
      <c r="A56" s="613" t="inlineStr">
        <is>
          <t>GR232</t>
        </is>
      </c>
      <c r="B56" s="606" t="inlineStr">
        <is>
          <t> </t>
        </is>
      </c>
      <c r="C56" s="606" t="n"/>
      <c r="D56" s="606" t="n"/>
      <c r="E56" s="606" t="n"/>
      <c r="F56" s="429" t="n"/>
      <c r="G56" s="429" t="n"/>
      <c r="H56" s="429" t="n"/>
      <c r="I56" s="429" t="n"/>
      <c r="J56" s="429" t="n"/>
    </row>
    <row r="57" ht="30" customFormat="1" customHeight="1" s="420">
      <c r="A57" s="613" t="inlineStr">
        <is>
          <t>GR233</t>
        </is>
      </c>
      <c r="B57" s="606" t="inlineStr">
        <is>
          <t> </t>
        </is>
      </c>
      <c r="C57" s="606" t="n"/>
      <c r="D57" s="606" t="n"/>
      <c r="E57" s="606" t="n"/>
      <c r="F57" s="429" t="n"/>
      <c r="G57" s="429" t="n"/>
      <c r="H57" s="429" t="n"/>
      <c r="I57" s="429" t="n"/>
      <c r="J57" s="429" t="n"/>
    </row>
    <row r="58" ht="30" customFormat="1" customHeight="1" s="420">
      <c r="A58" s="613" t="inlineStr">
        <is>
          <t>GR234</t>
        </is>
      </c>
      <c r="B58" s="606" t="inlineStr">
        <is>
          <t> </t>
        </is>
      </c>
      <c r="C58" s="606" t="n"/>
      <c r="D58" s="606" t="n"/>
      <c r="E58" s="606" t="n"/>
      <c r="F58" s="429" t="n"/>
      <c r="G58" s="429" t="n"/>
      <c r="H58" s="429" t="n"/>
      <c r="I58" s="429" t="n"/>
      <c r="J58" s="429" t="n"/>
    </row>
    <row r="59" ht="30" customFormat="1" customHeight="1" s="420">
      <c r="A59" s="613" t="inlineStr">
        <is>
          <t>GR235</t>
        </is>
      </c>
      <c r="B59" s="606" t="inlineStr">
        <is>
          <t> </t>
        </is>
      </c>
      <c r="C59" s="606" t="n"/>
      <c r="D59" s="606" t="n"/>
      <c r="E59" s="606" t="n"/>
      <c r="F59" s="429" t="n"/>
      <c r="G59" s="429" t="n"/>
      <c r="H59" s="429" t="n"/>
      <c r="I59" s="429" t="n"/>
      <c r="J59" s="429" t="n"/>
    </row>
    <row r="60" ht="30" customFormat="1" customHeight="1" s="420">
      <c r="A60" s="613" t="inlineStr">
        <is>
          <t>GR236</t>
        </is>
      </c>
      <c r="B60" s="606" t="inlineStr">
        <is>
          <t> </t>
        </is>
      </c>
      <c r="C60" s="606" t="n"/>
      <c r="D60" s="606" t="n"/>
      <c r="E60" s="606" t="n"/>
      <c r="F60" s="429" t="n"/>
      <c r="G60" s="429" t="n"/>
      <c r="H60" s="429" t="n"/>
      <c r="I60" s="429" t="n"/>
      <c r="J60" s="429" t="n"/>
    </row>
    <row r="61" ht="30" customFormat="1" customHeight="1" s="420">
      <c r="A61" s="613" t="inlineStr">
        <is>
          <t>GR237</t>
        </is>
      </c>
      <c r="B61" s="606" t="inlineStr">
        <is>
          <t> </t>
        </is>
      </c>
      <c r="C61" s="606" t="n"/>
      <c r="D61" s="606" t="n"/>
      <c r="E61" s="606" t="n"/>
      <c r="F61" s="429" t="n"/>
      <c r="G61" s="429" t="n"/>
      <c r="H61" s="429" t="n"/>
      <c r="I61" s="429" t="n"/>
      <c r="J61" s="429" t="n"/>
    </row>
    <row r="62" ht="30" customFormat="1" customHeight="1" s="420">
      <c r="A62" s="613" t="inlineStr">
        <is>
          <t>GR238</t>
        </is>
      </c>
      <c r="B62" s="606" t="inlineStr">
        <is>
          <t> </t>
        </is>
      </c>
      <c r="C62" s="606" t="n"/>
      <c r="D62" s="606" t="n"/>
      <c r="E62" s="606" t="n"/>
      <c r="F62" s="429" t="n"/>
      <c r="G62" s="429" t="n"/>
      <c r="H62" s="429" t="n"/>
      <c r="I62" s="429" t="n"/>
      <c r="J62" s="429" t="n"/>
    </row>
    <row r="63" ht="25.5" customFormat="1" customHeight="1" s="629">
      <c r="A63" s="613" t="inlineStr">
        <is>
          <t>GR239</t>
        </is>
      </c>
      <c r="B63" s="606" t="inlineStr">
        <is>
          <t> </t>
        </is>
      </c>
      <c r="C63" s="606" t="n"/>
      <c r="D63" s="606" t="n"/>
      <c r="E63" s="606" t="n"/>
      <c r="F63" s="429" t="n"/>
      <c r="G63" s="429" t="n"/>
      <c r="H63" s="429" t="n"/>
      <c r="I63" s="429" t="n"/>
      <c r="J63" s="429" t="n"/>
    </row>
    <row r="64" ht="30" customHeight="1" s="885">
      <c r="A64" s="613" t="inlineStr">
        <is>
          <t>GR240</t>
        </is>
      </c>
      <c r="B64" s="606" t="inlineStr">
        <is>
          <t> </t>
        </is>
      </c>
      <c r="C64" s="606" t="n"/>
      <c r="D64" s="606" t="n"/>
      <c r="E64" s="606" t="n"/>
      <c r="F64" s="429" t="n"/>
      <c r="G64" s="429" t="n"/>
      <c r="H64" s="429" t="n"/>
      <c r="I64" s="429" t="n"/>
      <c r="J64" s="429" t="n"/>
    </row>
    <row r="65" ht="30" customHeight="1" s="885">
      <c r="A65" s="613" t="inlineStr">
        <is>
          <t>GR241</t>
        </is>
      </c>
      <c r="B65" s="606" t="inlineStr">
        <is>
          <t> </t>
        </is>
      </c>
      <c r="C65" s="606" t="n"/>
      <c r="D65" s="606" t="n"/>
      <c r="E65" s="606" t="n"/>
      <c r="F65" s="429" t="n"/>
      <c r="G65" s="429" t="n"/>
      <c r="H65" s="429" t="n"/>
      <c r="I65" s="429" t="n"/>
      <c r="J65" s="429" t="n"/>
    </row>
    <row r="66" ht="30" customFormat="1" customHeight="1" s="420">
      <c r="A66" s="613" t="inlineStr">
        <is>
          <t>GR242</t>
        </is>
      </c>
      <c r="B66" s="606" t="inlineStr">
        <is>
          <t> </t>
        </is>
      </c>
      <c r="C66" s="606" t="n"/>
      <c r="D66" s="606" t="n"/>
      <c r="E66" s="606" t="n"/>
      <c r="F66" s="429" t="n"/>
      <c r="G66" s="429" t="n"/>
      <c r="H66" s="429" t="n"/>
      <c r="I66" s="429" t="n"/>
      <c r="J66" s="429" t="n"/>
    </row>
    <row r="67" ht="34.5" customFormat="1" customHeight="1" s="629">
      <c r="A67" s="613" t="inlineStr">
        <is>
          <t>GR243</t>
        </is>
      </c>
      <c r="B67" s="606" t="inlineStr">
        <is>
          <t> </t>
        </is>
      </c>
      <c r="C67" s="606" t="n"/>
      <c r="D67" s="606" t="n"/>
      <c r="E67" s="606" t="n"/>
      <c r="F67" s="429" t="n"/>
      <c r="G67" s="429" t="n"/>
      <c r="H67" s="429" t="n"/>
      <c r="I67" s="429" t="n"/>
      <c r="J67" s="429" t="n"/>
    </row>
    <row r="68" ht="36" customHeight="1" s="885">
      <c r="A68" s="613" t="inlineStr">
        <is>
          <t>GR244</t>
        </is>
      </c>
      <c r="B68" s="856" t="n"/>
      <c r="C68" s="900" t="n"/>
      <c r="D68" s="900" t="n"/>
      <c r="E68" s="901" t="n"/>
      <c r="F68" s="429" t="n"/>
      <c r="G68" s="429" t="n"/>
      <c r="H68" s="429" t="n"/>
      <c r="I68" s="429" t="n"/>
      <c r="J68" s="429" t="n"/>
    </row>
    <row r="69" ht="20" customHeight="1" s="885">
      <c r="A69" s="416" t="inlineStr">
        <is>
          <t>* Y compris agios dus</t>
        </is>
      </c>
      <c r="B69" s="416" t="n"/>
      <c r="C69" s="416" t="n"/>
      <c r="D69" s="416" t="n"/>
      <c r="E69" s="416" t="n"/>
      <c r="F69" s="416" t="n"/>
      <c r="G69" s="416" t="n"/>
      <c r="H69" s="416" t="n"/>
      <c r="I69" s="416" t="n"/>
      <c r="J69" s="416" t="n"/>
    </row>
    <row r="70" ht="20" customHeight="1" s="885">
      <c r="A70" s="416" t="inlineStr">
        <is>
          <t>** Totaux classés par ordre décroissant.</t>
        </is>
      </c>
      <c r="B70" s="416" t="n"/>
      <c r="C70" s="416" t="n"/>
      <c r="D70" s="416" t="n"/>
      <c r="E70" s="416" t="n"/>
      <c r="F70" s="416" t="n"/>
      <c r="G70" s="416" t="n"/>
      <c r="H70" s="416" t="n"/>
      <c r="I70" s="416" t="n"/>
      <c r="J70" s="41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otsakyEsLNf+WTDx7QrNA==" formatRows="1" sort="1" spinCount="100000" hashValue="r3FnvIMAtrv8D1eNB0w+CXBe6KF8nMrmLq2bnq/THXUCXaQyjn1uU5wU9WWVzAG/TWsqZ1JSJdmoPRkhy8jAyA=="/>
  <mergeCells count="14">
    <mergeCell ref="H9:H16"/>
    <mergeCell ref="F9:F16"/>
    <mergeCell ref="B17:E17"/>
    <mergeCell ref="J9:J16"/>
    <mergeCell ref="G9:G16"/>
    <mergeCell ref="I9:I16"/>
    <mergeCell ref="B9:E13"/>
    <mergeCell ref="B68:E68"/>
    <mergeCell ref="A1:I1"/>
    <mergeCell ref="B14:B16"/>
    <mergeCell ref="C14:C16"/>
    <mergeCell ref="E14:E16"/>
    <mergeCell ref="A9:A16"/>
    <mergeCell ref="D14:D16"/>
  </mergeCells>
  <pageMargins left="0.708333333333333" right="0.708333333333333" top="0.747916666666667" bottom="0.747916666666667" header="0.511811023622047" footer="0.315277777777778"/>
  <pageSetup orientation="portrait" paperSize="9" scale="38" horizontalDpi="300" verticalDpi="300"/>
  <headerFooter>
    <oddHeader/>
    <oddFooter>&amp;R&amp;P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MK36"/>
  <sheetViews>
    <sheetView view="pageBreakPreview" zoomScale="80" zoomScaleNormal="80" zoomScalePageLayoutView="80" workbookViewId="0">
      <selection activeCell="A34" sqref="A34"/>
    </sheetView>
  </sheetViews>
  <sheetFormatPr baseColWidth="10" defaultColWidth="10" defaultRowHeight="17.25" customHeight="1"/>
  <cols>
    <col collapsed="1" width="11.08984375" customWidth="1" style="770" min="1" max="1"/>
    <col collapsed="1" width="110.1796875" customWidth="1" style="770" min="2" max="2"/>
    <col collapsed="1" width="19.08984375" customWidth="1" style="770" min="3" max="3"/>
    <col collapsed="1" width="16.90625" customWidth="1" style="770" min="4" max="5"/>
    <col collapsed="1" width="10" customWidth="1" style="770" min="6" max="16384"/>
  </cols>
  <sheetData>
    <row r="1" ht="29.25" customHeight="1" s="885">
      <c r="A1" s="767" t="inlineStr">
        <is>
          <t>RATIO DE LEVIER</t>
        </is>
      </c>
      <c r="B1" s="886" t="n"/>
      <c r="C1" s="964" t="inlineStr">
        <is>
          <t>EP33</t>
        </is>
      </c>
      <c r="D1" s="632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A7" s="633" t="n"/>
      <c r="B7" s="633" t="n"/>
      <c r="C7" s="633" t="n"/>
      <c r="D7" s="633" t="n"/>
      <c r="E7" s="633" t="n"/>
    </row>
    <row r="8" ht="17.5" customHeight="1" s="885">
      <c r="A8" s="633" t="n"/>
      <c r="B8" s="633" t="n"/>
      <c r="C8" s="633" t="n"/>
      <c r="D8" s="633" t="n"/>
      <c r="E8" s="633" t="n"/>
    </row>
    <row r="9" ht="36" customFormat="1" customHeight="1" s="295">
      <c r="A9" s="766" t="inlineStr">
        <is>
          <t>Code DISPRU</t>
        </is>
      </c>
      <c r="B9" s="766" t="inlineStr">
        <is>
          <t>Poste</t>
        </is>
      </c>
      <c r="C9" s="766" t="inlineStr">
        <is>
          <t>Montant</t>
        </is>
      </c>
      <c r="D9" s="634" t="n"/>
      <c r="E9" s="634" t="n"/>
    </row>
    <row r="10" ht="12" customHeight="1" s="885">
      <c r="A10" s="863" t="n"/>
      <c r="B10" s="894" t="n"/>
      <c r="C10" s="895" t="n"/>
      <c r="D10" s="633" t="n"/>
      <c r="E10" s="633" t="n"/>
    </row>
    <row r="11" ht="25.5" customFormat="1" customHeight="1" s="293">
      <c r="A11" s="635" t="n"/>
      <c r="B11" s="635" t="inlineStr">
        <is>
          <t>A. Expositions au bilan</t>
        </is>
      </c>
      <c r="C11" s="635" t="n"/>
    </row>
    <row r="12" ht="30" customHeight="1" s="885">
      <c r="A12" s="636" t="inlineStr">
        <is>
          <t>RL001</t>
        </is>
      </c>
      <c r="B12" s="637" t="inlineStr">
        <is>
          <t>Actifs au bilan</t>
        </is>
      </c>
      <c r="C12" s="523" t="n"/>
    </row>
    <row r="13" ht="30" customHeight="1" s="885">
      <c r="A13" s="636" t="inlineStr">
        <is>
          <t>RL002</t>
        </is>
      </c>
      <c r="B13" s="637" t="inlineStr">
        <is>
          <t>(-) Expositions au bilan déduites des fonds propres</t>
        </is>
      </c>
      <c r="C13" s="523" t="n"/>
    </row>
    <row r="14" ht="30" customHeight="1" s="885">
      <c r="A14" s="636" t="inlineStr">
        <is>
          <t>RL003</t>
        </is>
      </c>
      <c r="B14" s="637" t="inlineStr">
        <is>
          <t>(-) Expositions sur opérations assimilables à des pensions</t>
        </is>
      </c>
      <c r="C14" s="523" t="n"/>
    </row>
    <row r="15" ht="30" customFormat="1" customHeight="1" s="315">
      <c r="A15" s="636" t="inlineStr">
        <is>
          <t>RL004</t>
        </is>
      </c>
      <c r="B15" s="638" t="inlineStr">
        <is>
          <t>Total des expositions au bilan</t>
        </is>
      </c>
      <c r="C15" s="639">
        <f>C12+C13+C14</f>
        <v/>
      </c>
    </row>
    <row r="16" ht="12" customHeight="1" s="885">
      <c r="A16" s="863" t="n"/>
      <c r="B16" s="894" t="n"/>
      <c r="C16" s="895" t="n"/>
      <c r="D16" s="633" t="n"/>
      <c r="E16" s="633" t="n"/>
    </row>
    <row r="17" ht="25.5" customFormat="1" customHeight="1" s="293">
      <c r="A17" s="635" t="n"/>
      <c r="B17" s="635" t="inlineStr">
        <is>
          <t>B. Expositions sur dérivés</t>
        </is>
      </c>
      <c r="C17" s="635" t="n"/>
    </row>
    <row r="18" ht="30" customHeight="1" s="885">
      <c r="A18" s="636" t="inlineStr">
        <is>
          <t>RL005</t>
        </is>
      </c>
      <c r="B18" s="637" t="inlineStr">
        <is>
          <t>Dérivés non couverts par un accord-cadre de compensation bilatérale admissible</t>
        </is>
      </c>
      <c r="C18" s="523" t="n"/>
    </row>
    <row r="19" ht="30" customHeight="1" s="885">
      <c r="A19" s="636" t="inlineStr">
        <is>
          <t>RL006</t>
        </is>
      </c>
      <c r="B19" s="637" t="inlineStr">
        <is>
          <t>Dérivés couverts par un accord-cadre de compensation bilatérale admissible</t>
        </is>
      </c>
      <c r="C19" s="523" t="n"/>
    </row>
    <row r="20" ht="30" customFormat="1" customHeight="1" s="315">
      <c r="A20" s="636" t="inlineStr">
        <is>
          <t>RL007</t>
        </is>
      </c>
      <c r="B20" s="638" t="inlineStr">
        <is>
          <t>Total des expositions sur dérivés</t>
        </is>
      </c>
      <c r="C20" s="639" t="n">
        <v>0</v>
      </c>
    </row>
    <row r="21" ht="12" customHeight="1" s="885">
      <c r="A21" s="863" t="n"/>
      <c r="B21" s="894" t="n"/>
      <c r="C21" s="895" t="n"/>
      <c r="D21" s="633" t="n"/>
      <c r="E21" s="633" t="n"/>
    </row>
    <row r="22" ht="25.5" customFormat="1" customHeight="1" s="293">
      <c r="A22" s="635" t="n"/>
      <c r="B22" s="635" t="inlineStr">
        <is>
          <t>C. Expositions sur opérations assimilables à des pensions</t>
        </is>
      </c>
      <c r="C22" s="635" t="n"/>
    </row>
    <row r="23" ht="30" customHeight="1" s="885">
      <c r="A23" s="636" t="inlineStr">
        <is>
          <t>RL008</t>
        </is>
      </c>
      <c r="B23" s="637" t="inlineStr">
        <is>
          <t>Opérations assimilables à des pensions à titre d'intermédiaire</t>
        </is>
      </c>
      <c r="C23" s="523" t="n"/>
    </row>
    <row r="24" ht="30" customHeight="1" s="885">
      <c r="A24" s="636" t="inlineStr">
        <is>
          <t>RL009</t>
        </is>
      </c>
      <c r="B24" s="637" t="inlineStr">
        <is>
          <t>Autres opérations assimilables à des pensions</t>
        </is>
      </c>
      <c r="C24" s="523" t="n"/>
    </row>
    <row r="25" ht="30" customFormat="1" customHeight="1" s="315">
      <c r="A25" s="636" t="inlineStr">
        <is>
          <t>RL010</t>
        </is>
      </c>
      <c r="B25" s="638" t="inlineStr">
        <is>
          <t xml:space="preserve">Total des expositions sur opérations assimilables à des pensions </t>
        </is>
      </c>
      <c r="C25" s="639" t="n">
        <v>0</v>
      </c>
    </row>
    <row r="26" ht="12" customHeight="1" s="885">
      <c r="A26" s="863" t="n"/>
      <c r="B26" s="894" t="n"/>
      <c r="C26" s="895" t="n"/>
      <c r="D26" s="633" t="n"/>
      <c r="E26" s="633" t="n"/>
    </row>
    <row r="27" ht="34.5" customFormat="1" customHeight="1" s="293">
      <c r="A27" s="635" t="n"/>
      <c r="B27" s="635" t="inlineStr">
        <is>
          <t>D. Expositions sur engagement hors bilan (excluant les dérivés et les opérations assimilables à des pensions)</t>
        </is>
      </c>
      <c r="C27" s="635" t="n"/>
    </row>
    <row r="28" ht="30" customHeight="1" s="885">
      <c r="A28" s="636" t="inlineStr">
        <is>
          <t>RL011</t>
        </is>
      </c>
      <c r="B28" s="637" t="inlineStr">
        <is>
          <t>Engagements de financement</t>
        </is>
      </c>
      <c r="C28" s="523">
        <f>71*0.5</f>
        <v/>
      </c>
    </row>
    <row r="29" ht="30" customHeight="1" s="885">
      <c r="A29" s="636" t="inlineStr">
        <is>
          <t>RL012</t>
        </is>
      </c>
      <c r="B29" s="637" t="inlineStr">
        <is>
          <t>Autres engagements hors bilan</t>
        </is>
      </c>
      <c r="C29" s="692">
        <f>43054*0.5</f>
        <v/>
      </c>
    </row>
    <row r="30" ht="30" customFormat="1" customHeight="1" s="315">
      <c r="A30" s="636" t="inlineStr">
        <is>
          <t>RL013</t>
        </is>
      </c>
      <c r="B30" s="638" t="inlineStr">
        <is>
          <t>Total des expositions sur engagement hors bilan</t>
        </is>
      </c>
      <c r="C30" s="639">
        <f>C28+C29</f>
        <v/>
      </c>
    </row>
    <row r="31" ht="12" customHeight="1" s="885">
      <c r="A31" s="863" t="n"/>
      <c r="B31" s="894" t="n"/>
      <c r="C31" s="895" t="n"/>
      <c r="D31" s="633" t="n"/>
      <c r="E31" s="633" t="n"/>
    </row>
    <row r="32" ht="25.5" customHeight="1" s="885">
      <c r="A32" s="636" t="n"/>
      <c r="B32" s="640" t="inlineStr">
        <is>
          <t>E. Calcul du ratio de levier</t>
        </is>
      </c>
      <c r="C32" s="640" t="n"/>
    </row>
    <row r="33" ht="30" customHeight="1" s="885">
      <c r="A33" s="636" t="inlineStr">
        <is>
          <t>RL014</t>
        </is>
      </c>
      <c r="B33" s="637" t="inlineStr">
        <is>
          <t>Fonds propres de base T1</t>
        </is>
      </c>
      <c r="C33" s="523" t="n"/>
    </row>
    <row r="34" ht="30" customHeight="1" s="885">
      <c r="A34" s="636" t="inlineStr">
        <is>
          <t>RL015</t>
        </is>
      </c>
      <c r="B34" s="637" t="inlineStr">
        <is>
          <t>Exposition totale</t>
        </is>
      </c>
      <c r="C34" s="523">
        <f>C15+C20+C25+C30</f>
        <v/>
      </c>
    </row>
    <row r="35" ht="30" customFormat="1" customHeight="1" s="315">
      <c r="A35" s="636" t="inlineStr">
        <is>
          <t>RA005</t>
        </is>
      </c>
      <c r="B35" s="638" t="inlineStr">
        <is>
          <t>Ratio de levier  (%)</t>
        </is>
      </c>
      <c r="C35" s="639">
        <f>C33/C34</f>
        <v/>
      </c>
    </row>
    <row r="36" ht="17.5" customHeight="1" s="885">
      <c r="A36" s="391" t="n"/>
      <c r="B36" s="391" t="n"/>
      <c r="C36" s="39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ccSu5PQLk2iDhJorsMAcg==" formatRows="1" sort="1" spinCount="100000" hashValue="2LvH/eCpHlP2V23fPjeCbtLoPUUQ10bTgSOyaCTfNLqq27Xurf5KFvHyBXtbB31Pz8PLCiIaVDxwX479dIIbIQ=="/>
  <mergeCells count="6">
    <mergeCell ref="A10:C10"/>
    <mergeCell ref="A31:C31"/>
    <mergeCell ref="A21:C21"/>
    <mergeCell ref="A1:B1"/>
    <mergeCell ref="A26:C26"/>
    <mergeCell ref="A16:C16"/>
  </mergeCells>
  <pageMargins left="0.708333333333333" right="0.708333333333333" top="0.747916666666667" bottom="0.747916666666667" header="0.511811023622047" footer="0.315277777777778"/>
  <pageSetup orientation="portrait" paperSize="9" scale="55" horizontalDpi="300" verticalDpi="300"/>
  <headerFooter>
    <oddHeader/>
    <oddFooter>&amp;R&amp;P</oddFooter>
    <evenHeader/>
    <evenFooter/>
    <firstHeader/>
    <firstFooter/>
  </headerFooter>
  <colBreaks count="1" manualBreakCount="1">
    <brk id="3" min="0" max="1048575" man="1"/>
  </colBreak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K130"/>
  <sheetViews>
    <sheetView view="pageBreakPreview" topLeftCell="A92" zoomScale="70" zoomScaleNormal="70" zoomScaleSheetLayoutView="70" zoomScalePageLayoutView="70" workbookViewId="0">
      <selection activeCell="B105" sqref="B105:B106"/>
    </sheetView>
  </sheetViews>
  <sheetFormatPr baseColWidth="10" defaultColWidth="10" defaultRowHeight="17.25" customHeight="1"/>
  <cols>
    <col collapsed="1" width="11.6328125" customWidth="1" style="877" min="1" max="1"/>
    <col collapsed="1" width="34.36328125" customWidth="1" style="877" min="2" max="2"/>
    <col collapsed="1" width="32.6328125" customWidth="1" style="877" min="3" max="5"/>
    <col collapsed="1" width="10" customWidth="1" style="877" min="6" max="16384"/>
  </cols>
  <sheetData>
    <row r="1" ht="29.25" customFormat="1" customHeight="1" s="770">
      <c r="A1" s="767" t="inlineStr">
        <is>
          <t>LISTE DES PARTICIPATIONS DE L'ETABLISSEMENT</t>
        </is>
      </c>
      <c r="B1" s="886" t="n"/>
      <c r="C1" s="886" t="n"/>
      <c r="D1" s="886" t="n"/>
      <c r="E1" s="964" t="inlineStr">
        <is>
          <t>EP34</t>
        </is>
      </c>
      <c r="F1" s="632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Height="1" s="885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Height="1" s="885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Height="1" s="885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Format="1" customHeight="1" s="770">
      <c r="B7" s="302" t="n"/>
      <c r="C7" s="302" t="n"/>
      <c r="D7" s="302" t="n"/>
      <c r="E7" s="302" t="n"/>
      <c r="F7" s="302" t="n"/>
    </row>
    <row r="8" ht="15.75" customFormat="1" customHeight="1" s="644">
      <c r="A8" s="641" t="n"/>
      <c r="B8" s="642" t="n"/>
      <c r="C8" s="643" t="n"/>
      <c r="D8" s="641" t="n"/>
      <c r="E8" s="643" t="n"/>
    </row>
    <row r="9" ht="2.25" customFormat="1" customHeight="1" s="644">
      <c r="A9" s="645" t="n"/>
      <c r="C9" s="646" t="n"/>
      <c r="E9" s="647" t="n"/>
    </row>
    <row r="10" ht="19.5" customFormat="1" customHeight="1" s="649">
      <c r="A10" s="766" t="inlineStr">
        <is>
          <t>Code DISPRU</t>
        </is>
      </c>
      <c r="B10" s="868" t="inlineStr">
        <is>
          <t>Dénomination de l'entreprise émettrice</t>
        </is>
      </c>
      <c r="C10" s="868" t="inlineStr">
        <is>
          <t>Capital de l'entreprise</t>
        </is>
      </c>
      <c r="D10" s="868" t="inlineStr">
        <is>
          <t xml:space="preserve">Montant de la participation </t>
        </is>
      </c>
      <c r="E10" s="895" t="n"/>
    </row>
    <row r="11" ht="21.75" customFormat="1" customHeight="1" s="649">
      <c r="A11" s="896" t="n"/>
      <c r="B11" s="896" t="n"/>
      <c r="C11" s="896" t="n"/>
      <c r="D11" s="868" t="inlineStr">
        <is>
          <t>brut *</t>
        </is>
      </c>
      <c r="E11" s="868" t="inlineStr">
        <is>
          <t>net **</t>
        </is>
      </c>
    </row>
    <row r="12" ht="27.75" customFormat="1" customHeight="1" s="651">
      <c r="A12" s="650" t="n"/>
      <c r="B12" s="866" t="inlineStr">
        <is>
          <t>A. Participations dans les établissements</t>
        </is>
      </c>
      <c r="C12" s="956" t="n"/>
      <c r="D12" s="956" t="n"/>
      <c r="E12" s="897" t="n"/>
    </row>
    <row r="13" ht="18" customFormat="1" customHeight="1" s="652">
      <c r="A13" s="636" t="inlineStr">
        <is>
          <t>PA001</t>
        </is>
      </c>
      <c r="B13" s="523" t="n"/>
      <c r="C13" s="523" t="n"/>
      <c r="D13" s="523" t="n"/>
      <c r="E13" s="523" t="n"/>
    </row>
    <row r="14" ht="18" customFormat="1" customHeight="1" s="652">
      <c r="A14" s="636" t="inlineStr">
        <is>
          <t>PA002</t>
        </is>
      </c>
      <c r="B14" s="523" t="n"/>
      <c r="C14" s="523" t="n"/>
      <c r="D14" s="523" t="n"/>
      <c r="E14" s="523" t="n"/>
    </row>
    <row r="15" ht="18" customFormat="1" customHeight="1" s="652">
      <c r="A15" s="636" t="inlineStr">
        <is>
          <t>PA003</t>
        </is>
      </c>
      <c r="B15" s="523" t="n"/>
      <c r="C15" s="523" t="n"/>
      <c r="D15" s="523" t="n"/>
      <c r="E15" s="523" t="n"/>
    </row>
    <row r="16" ht="18" customFormat="1" customHeight="1" s="652">
      <c r="A16" s="636" t="inlineStr">
        <is>
          <t>PA004</t>
        </is>
      </c>
      <c r="B16" s="523" t="n"/>
      <c r="C16" s="523" t="n"/>
      <c r="D16" s="523" t="n"/>
      <c r="E16" s="523" t="n"/>
    </row>
    <row r="17" ht="18" customFormat="1" customHeight="1" s="652">
      <c r="A17" s="636" t="inlineStr">
        <is>
          <t>PA005</t>
        </is>
      </c>
      <c r="B17" s="523" t="n"/>
      <c r="C17" s="523" t="n"/>
      <c r="D17" s="523" t="n"/>
      <c r="E17" s="523" t="n"/>
    </row>
    <row r="18" ht="18" customFormat="1" customHeight="1" s="652">
      <c r="A18" s="636" t="inlineStr">
        <is>
          <t>PA006</t>
        </is>
      </c>
      <c r="B18" s="523" t="n"/>
      <c r="C18" s="523" t="n"/>
      <c r="D18" s="523" t="n"/>
      <c r="E18" s="523" t="n"/>
    </row>
    <row r="19" ht="18" customFormat="1" customHeight="1" s="652">
      <c r="A19" s="636" t="inlineStr">
        <is>
          <t>PA007</t>
        </is>
      </c>
      <c r="B19" s="523" t="n"/>
      <c r="C19" s="523" t="n"/>
      <c r="D19" s="523" t="n"/>
      <c r="E19" s="523" t="n"/>
    </row>
    <row r="20" ht="18" customFormat="1" customHeight="1" s="652">
      <c r="A20" s="636" t="inlineStr">
        <is>
          <t>PA008</t>
        </is>
      </c>
      <c r="B20" s="523" t="n"/>
      <c r="C20" s="523" t="n"/>
      <c r="D20" s="523" t="n"/>
      <c r="E20" s="523" t="n"/>
    </row>
    <row r="21" ht="18" customFormat="1" customHeight="1" s="652">
      <c r="A21" s="636" t="inlineStr">
        <is>
          <t>PA009</t>
        </is>
      </c>
      <c r="B21" s="523" t="n"/>
      <c r="C21" s="523" t="n"/>
      <c r="D21" s="523" t="n"/>
      <c r="E21" s="523" t="n"/>
    </row>
    <row r="22" ht="18" customFormat="1" customHeight="1" s="652">
      <c r="A22" s="636" t="inlineStr">
        <is>
          <t>PA010</t>
        </is>
      </c>
      <c r="B22" s="523" t="n"/>
      <c r="C22" s="523" t="n"/>
      <c r="D22" s="523" t="n"/>
      <c r="E22" s="523" t="n"/>
    </row>
    <row r="23" ht="18" customFormat="1" customHeight="1" s="652">
      <c r="A23" s="636" t="inlineStr">
        <is>
          <t>PA011</t>
        </is>
      </c>
      <c r="B23" s="523" t="n"/>
      <c r="C23" s="523" t="n"/>
      <c r="D23" s="523" t="n"/>
      <c r="E23" s="523" t="n"/>
    </row>
    <row r="24" ht="18" customFormat="1" customHeight="1" s="652">
      <c r="A24" s="636" t="inlineStr">
        <is>
          <t>PA012</t>
        </is>
      </c>
      <c r="B24" s="523" t="n"/>
      <c r="C24" s="523" t="n"/>
      <c r="D24" s="523" t="n"/>
      <c r="E24" s="523" t="n"/>
    </row>
    <row r="25" ht="18" customFormat="1" customHeight="1" s="652">
      <c r="A25" s="636" t="inlineStr">
        <is>
          <t>PA013</t>
        </is>
      </c>
      <c r="B25" s="523" t="n"/>
      <c r="C25" s="523" t="n"/>
      <c r="D25" s="523" t="n"/>
      <c r="E25" s="523" t="n"/>
    </row>
    <row r="26" ht="18" customFormat="1" customHeight="1" s="652">
      <c r="A26" s="636" t="inlineStr">
        <is>
          <t>PA014</t>
        </is>
      </c>
      <c r="B26" s="523" t="n"/>
      <c r="C26" s="523" t="n"/>
      <c r="D26" s="523" t="n"/>
      <c r="E26" s="523" t="n"/>
    </row>
    <row r="27" ht="18" customFormat="1" customHeight="1" s="652">
      <c r="A27" s="636" t="inlineStr">
        <is>
          <t>PA015</t>
        </is>
      </c>
      <c r="B27" s="523" t="n"/>
      <c r="C27" s="523" t="n"/>
      <c r="D27" s="523" t="n"/>
      <c r="E27" s="523" t="n"/>
    </row>
    <row r="28" ht="18" customFormat="1" customHeight="1" s="652">
      <c r="A28" s="636" t="inlineStr">
        <is>
          <t>PA016</t>
        </is>
      </c>
      <c r="B28" s="523" t="n"/>
      <c r="C28" s="523" t="n"/>
      <c r="D28" s="523" t="n"/>
      <c r="E28" s="523" t="n"/>
    </row>
    <row r="29" ht="18" customFormat="1" customHeight="1" s="652">
      <c r="A29" s="636" t="inlineStr">
        <is>
          <t>PA017</t>
        </is>
      </c>
      <c r="B29" s="523" t="n"/>
      <c r="C29" s="523" t="n"/>
      <c r="D29" s="523" t="n"/>
      <c r="E29" s="523" t="n"/>
    </row>
    <row r="30" ht="18" customFormat="1" customHeight="1" s="652">
      <c r="A30" s="636" t="inlineStr">
        <is>
          <t>PA018</t>
        </is>
      </c>
      <c r="B30" s="523" t="n"/>
      <c r="C30" s="523" t="n"/>
      <c r="D30" s="523" t="n"/>
      <c r="E30" s="523" t="n"/>
    </row>
    <row r="31" ht="18" customFormat="1" customHeight="1" s="652">
      <c r="A31" s="636" t="inlineStr">
        <is>
          <t>PA019</t>
        </is>
      </c>
      <c r="B31" s="523" t="n"/>
      <c r="C31" s="523" t="n"/>
      <c r="D31" s="523" t="n"/>
      <c r="E31" s="523" t="n"/>
    </row>
    <row r="32" ht="18" customFormat="1" customHeight="1" s="652">
      <c r="A32" s="636" t="inlineStr">
        <is>
          <t>PA020</t>
        </is>
      </c>
      <c r="B32" s="523" t="n"/>
      <c r="C32" s="523" t="n"/>
      <c r="D32" s="523" t="n"/>
      <c r="E32" s="523" t="n"/>
    </row>
    <row r="33" ht="26.25" customFormat="1" customHeight="1" s="644">
      <c r="A33" s="636" t="inlineStr">
        <is>
          <t>PA021</t>
        </is>
      </c>
      <c r="B33" s="864" t="n"/>
      <c r="C33" s="895" t="n"/>
      <c r="D33" s="523" t="n"/>
      <c r="E33" s="523" t="n"/>
    </row>
    <row r="34" ht="15" customFormat="1" customHeight="1" s="644">
      <c r="A34" s="867" t="n"/>
      <c r="B34" s="886" t="n"/>
      <c r="C34" s="886" t="n"/>
      <c r="D34" s="886" t="n"/>
      <c r="E34" s="957" t="n"/>
    </row>
    <row r="35" ht="27.75" customFormat="1" customHeight="1" s="651">
      <c r="A35" s="650" t="n"/>
      <c r="B35" s="866" t="n"/>
      <c r="C35" s="956" t="n"/>
      <c r="D35" s="956" t="n"/>
      <c r="E35" s="897" t="n"/>
    </row>
    <row r="36" ht="18.75" customFormat="1" customHeight="1" s="652">
      <c r="A36" s="636" t="inlineStr">
        <is>
          <t>PA022</t>
        </is>
      </c>
      <c r="B36" s="523" t="n"/>
      <c r="C36" s="523" t="n"/>
      <c r="D36" s="523" t="n"/>
      <c r="E36" s="523" t="n"/>
    </row>
    <row r="37" ht="20.25" customFormat="1" customHeight="1" s="652">
      <c r="A37" s="636" t="inlineStr">
        <is>
          <t>PA023</t>
        </is>
      </c>
      <c r="B37" s="523" t="n"/>
      <c r="C37" s="523" t="n"/>
      <c r="D37" s="523" t="n"/>
      <c r="E37" s="523" t="n"/>
    </row>
    <row r="38" ht="20.25" customFormat="1" customHeight="1" s="652">
      <c r="A38" s="636" t="inlineStr">
        <is>
          <t>PA024</t>
        </is>
      </c>
      <c r="B38" s="523" t="n"/>
      <c r="C38" s="523" t="n"/>
      <c r="D38" s="523" t="n"/>
      <c r="E38" s="523" t="n"/>
    </row>
    <row r="39" ht="20.25" customFormat="1" customHeight="1" s="652">
      <c r="A39" s="636" t="inlineStr">
        <is>
          <t>PA025</t>
        </is>
      </c>
      <c r="B39" s="523" t="n"/>
      <c r="C39" s="523" t="n"/>
      <c r="D39" s="523" t="n"/>
      <c r="E39" s="523" t="n"/>
    </row>
    <row r="40" ht="20.25" customFormat="1" customHeight="1" s="652">
      <c r="A40" s="636" t="inlineStr">
        <is>
          <t>PA026</t>
        </is>
      </c>
      <c r="B40" s="523" t="n"/>
      <c r="C40" s="523" t="n"/>
      <c r="D40" s="523" t="n"/>
      <c r="E40" s="523" t="n"/>
    </row>
    <row r="41" ht="20.25" customFormat="1" customHeight="1" s="652">
      <c r="A41" s="636" t="inlineStr">
        <is>
          <t>PA027</t>
        </is>
      </c>
      <c r="B41" s="523" t="n"/>
      <c r="C41" s="523" t="n"/>
      <c r="D41" s="523" t="n"/>
      <c r="E41" s="523" t="n"/>
    </row>
    <row r="42" ht="20.25" customFormat="1" customHeight="1" s="652">
      <c r="A42" s="636" t="inlineStr">
        <is>
          <t>PA028</t>
        </is>
      </c>
      <c r="B42" s="523" t="n"/>
      <c r="C42" s="523" t="n"/>
      <c r="D42" s="523" t="n"/>
      <c r="E42" s="523" t="n"/>
    </row>
    <row r="43" ht="20.25" customFormat="1" customHeight="1" s="652">
      <c r="A43" s="636" t="inlineStr">
        <is>
          <t>PA029</t>
        </is>
      </c>
      <c r="B43" s="523" t="n"/>
      <c r="C43" s="523" t="n"/>
      <c r="D43" s="523" t="n"/>
      <c r="E43" s="523" t="n"/>
    </row>
    <row r="44" ht="20.25" customFormat="1" customHeight="1" s="652">
      <c r="A44" s="636" t="inlineStr">
        <is>
          <t>PA030</t>
        </is>
      </c>
      <c r="B44" s="523" t="n"/>
      <c r="C44" s="523" t="n"/>
      <c r="D44" s="523" t="n"/>
      <c r="E44" s="523" t="n"/>
    </row>
    <row r="45" ht="20.25" customFormat="1" customHeight="1" s="652">
      <c r="A45" s="636" t="inlineStr">
        <is>
          <t>PA031</t>
        </is>
      </c>
      <c r="B45" s="523" t="n"/>
      <c r="C45" s="523" t="n"/>
      <c r="D45" s="523" t="n"/>
      <c r="E45" s="523" t="n"/>
    </row>
    <row r="46" ht="20.25" customFormat="1" customHeight="1" s="652">
      <c r="A46" s="636" t="inlineStr">
        <is>
          <t>PA032</t>
        </is>
      </c>
      <c r="B46" s="523" t="n"/>
      <c r="C46" s="523" t="n"/>
      <c r="D46" s="523" t="n"/>
      <c r="E46" s="523" t="n"/>
    </row>
    <row r="47" ht="20.25" customFormat="1" customHeight="1" s="652">
      <c r="A47" s="636" t="inlineStr">
        <is>
          <t>PA033</t>
        </is>
      </c>
      <c r="B47" s="523" t="n"/>
      <c r="C47" s="523" t="n"/>
      <c r="D47" s="523" t="n"/>
      <c r="E47" s="523" t="n"/>
    </row>
    <row r="48" ht="20.25" customFormat="1" customHeight="1" s="652">
      <c r="A48" s="636" t="inlineStr">
        <is>
          <t>PA034</t>
        </is>
      </c>
      <c r="B48" s="523" t="n"/>
      <c r="C48" s="523" t="n"/>
      <c r="D48" s="523" t="n"/>
      <c r="E48" s="523" t="n"/>
    </row>
    <row r="49" ht="18.75" customFormat="1" customHeight="1" s="652">
      <c r="A49" s="636" t="inlineStr">
        <is>
          <t>PA035</t>
        </is>
      </c>
      <c r="B49" s="523" t="n"/>
      <c r="C49" s="523" t="n"/>
      <c r="D49" s="523" t="n"/>
      <c r="E49" s="523" t="n"/>
    </row>
    <row r="50" ht="18.75" customFormat="1" customHeight="1" s="652">
      <c r="A50" s="636" t="inlineStr">
        <is>
          <t>PA036</t>
        </is>
      </c>
      <c r="B50" s="523" t="n"/>
      <c r="C50" s="523" t="n"/>
      <c r="D50" s="523" t="n"/>
      <c r="E50" s="523" t="n"/>
    </row>
    <row r="51" ht="18.75" customFormat="1" customHeight="1" s="652">
      <c r="A51" s="636" t="inlineStr">
        <is>
          <t>PA037</t>
        </is>
      </c>
      <c r="B51" s="523" t="n"/>
      <c r="C51" s="523" t="n"/>
      <c r="D51" s="523" t="n"/>
      <c r="E51" s="523" t="n"/>
    </row>
    <row r="52" ht="18.75" customFormat="1" customHeight="1" s="652">
      <c r="A52" s="636" t="inlineStr">
        <is>
          <t>PA038</t>
        </is>
      </c>
      <c r="B52" s="523" t="n"/>
      <c r="C52" s="523" t="n"/>
      <c r="D52" s="523" t="n"/>
      <c r="E52" s="523" t="n"/>
    </row>
    <row r="53" ht="18.75" customFormat="1" customHeight="1" s="652">
      <c r="A53" s="636" t="inlineStr">
        <is>
          <t>PA039</t>
        </is>
      </c>
      <c r="B53" s="523" t="n"/>
      <c r="C53" s="523" t="n"/>
      <c r="D53" s="523" t="n"/>
      <c r="E53" s="523" t="n"/>
    </row>
    <row r="54" ht="18.75" customFormat="1" customHeight="1" s="652">
      <c r="A54" s="636" t="inlineStr">
        <is>
          <t>PA040</t>
        </is>
      </c>
      <c r="B54" s="523" t="n"/>
      <c r="C54" s="523" t="n"/>
      <c r="D54" s="523" t="n"/>
      <c r="E54" s="523" t="n"/>
    </row>
    <row r="55" ht="18.75" customFormat="1" customHeight="1" s="652">
      <c r="A55" s="636" t="inlineStr">
        <is>
          <t>PA041</t>
        </is>
      </c>
      <c r="B55" s="523" t="n"/>
      <c r="C55" s="523" t="n"/>
      <c r="D55" s="523" t="n"/>
      <c r="E55" s="523" t="n"/>
    </row>
    <row r="56" ht="39" customFormat="1" customHeight="1" s="644">
      <c r="A56" s="636" t="inlineStr">
        <is>
          <t>PA042</t>
        </is>
      </c>
      <c r="B56" s="864" t="n"/>
      <c r="C56" s="895" t="n"/>
      <c r="D56" s="523" t="n"/>
      <c r="E56" s="523" t="n"/>
    </row>
    <row r="57" ht="15" customFormat="1" customHeight="1" s="644">
      <c r="A57" s="865" t="n"/>
      <c r="B57" s="928" t="n"/>
      <c r="C57" s="928" t="n"/>
      <c r="D57" s="928" t="n"/>
      <c r="E57" s="929" t="n"/>
    </row>
    <row r="58" ht="27.75" customFormat="1" customHeight="1" s="651">
      <c r="A58" s="650" t="n"/>
      <c r="B58" s="866" t="n"/>
      <c r="C58" s="956" t="n"/>
      <c r="D58" s="956" t="n"/>
      <c r="E58" s="897" t="n"/>
    </row>
    <row r="59" ht="20.25" customFormat="1" customHeight="1" s="652">
      <c r="A59" s="636" t="inlineStr">
        <is>
          <t>PA043</t>
        </is>
      </c>
      <c r="B59" s="523" t="n"/>
      <c r="C59" s="523" t="n"/>
      <c r="D59" s="523" t="n"/>
      <c r="E59" s="523" t="n"/>
    </row>
    <row r="60" ht="18" customFormat="1" customHeight="1" s="652">
      <c r="A60" s="636" t="inlineStr">
        <is>
          <t>PA044</t>
        </is>
      </c>
      <c r="B60" s="523" t="n"/>
      <c r="C60" s="523" t="n"/>
      <c r="D60" s="523" t="n"/>
      <c r="E60" s="523" t="n"/>
    </row>
    <row r="61" ht="18" customFormat="1" customHeight="1" s="652">
      <c r="A61" s="636" t="inlineStr">
        <is>
          <t>PA045</t>
        </is>
      </c>
      <c r="B61" s="523" t="n"/>
      <c r="C61" s="523" t="n"/>
      <c r="D61" s="523" t="n"/>
      <c r="E61" s="523" t="n"/>
    </row>
    <row r="62" ht="18" customFormat="1" customHeight="1" s="652">
      <c r="A62" s="636" t="inlineStr">
        <is>
          <t>PA046</t>
        </is>
      </c>
      <c r="B62" s="523" t="n"/>
      <c r="C62" s="523" t="n"/>
      <c r="D62" s="523" t="n"/>
      <c r="E62" s="523" t="n"/>
    </row>
    <row r="63" ht="18" customFormat="1" customHeight="1" s="652">
      <c r="A63" s="636" t="inlineStr">
        <is>
          <t>PA047</t>
        </is>
      </c>
      <c r="B63" s="523" t="n"/>
      <c r="C63" s="523" t="n"/>
      <c r="D63" s="523" t="n"/>
      <c r="E63" s="523" t="n"/>
    </row>
    <row r="64" ht="18" customFormat="1" customHeight="1" s="652">
      <c r="A64" s="636" t="inlineStr">
        <is>
          <t>PA048</t>
        </is>
      </c>
      <c r="B64" s="523" t="n"/>
      <c r="C64" s="523" t="n"/>
      <c r="D64" s="523" t="n"/>
      <c r="E64" s="523" t="n"/>
    </row>
    <row r="65" ht="18" customFormat="1" customHeight="1" s="652">
      <c r="A65" s="636" t="inlineStr">
        <is>
          <t>PA049</t>
        </is>
      </c>
      <c r="B65" s="523" t="n"/>
      <c r="C65" s="523" t="n"/>
      <c r="D65" s="523" t="n"/>
      <c r="E65" s="523" t="n"/>
    </row>
    <row r="66" ht="18" customFormat="1" customHeight="1" s="652">
      <c r="A66" s="636" t="inlineStr">
        <is>
          <t>PA050</t>
        </is>
      </c>
      <c r="B66" s="523" t="n"/>
      <c r="C66" s="523" t="n"/>
      <c r="D66" s="523" t="n"/>
      <c r="E66" s="523" t="n"/>
    </row>
    <row r="67" ht="18" customFormat="1" customHeight="1" s="652">
      <c r="A67" s="636" t="inlineStr">
        <is>
          <t>PA051</t>
        </is>
      </c>
      <c r="B67" s="523" t="n"/>
      <c r="C67" s="523" t="n"/>
      <c r="D67" s="523" t="n"/>
      <c r="E67" s="523" t="n"/>
    </row>
    <row r="68" ht="18" customFormat="1" customHeight="1" s="652">
      <c r="A68" s="636" t="inlineStr">
        <is>
          <t>PA052</t>
        </is>
      </c>
      <c r="B68" s="523" t="n"/>
      <c r="C68" s="523" t="n"/>
      <c r="D68" s="523" t="n"/>
      <c r="E68" s="523" t="n"/>
    </row>
    <row r="69" ht="18" customFormat="1" customHeight="1" s="652">
      <c r="A69" s="636" t="inlineStr">
        <is>
          <t>PA053</t>
        </is>
      </c>
      <c r="B69" s="523" t="n"/>
      <c r="C69" s="523" t="n"/>
      <c r="D69" s="523" t="n"/>
      <c r="E69" s="523" t="n"/>
    </row>
    <row r="70" ht="18" customFormat="1" customHeight="1" s="652">
      <c r="A70" s="636" t="inlineStr">
        <is>
          <t>PA054</t>
        </is>
      </c>
      <c r="B70" s="523" t="n"/>
      <c r="C70" s="523" t="n"/>
      <c r="D70" s="523" t="n"/>
      <c r="E70" s="523" t="n"/>
    </row>
    <row r="71" ht="18" customFormat="1" customHeight="1" s="652">
      <c r="A71" s="636" t="inlineStr">
        <is>
          <t>PA055</t>
        </is>
      </c>
      <c r="B71" s="523" t="n"/>
      <c r="C71" s="523" t="n"/>
      <c r="D71" s="523" t="n"/>
      <c r="E71" s="523" t="n"/>
    </row>
    <row r="72" ht="18" customFormat="1" customHeight="1" s="652">
      <c r="A72" s="636" t="inlineStr">
        <is>
          <t>PA056</t>
        </is>
      </c>
      <c r="B72" s="523" t="n"/>
      <c r="C72" s="523" t="n"/>
      <c r="D72" s="523" t="n"/>
      <c r="E72" s="523" t="n"/>
    </row>
    <row r="73" ht="18" customFormat="1" customHeight="1" s="652">
      <c r="A73" s="636" t="inlineStr">
        <is>
          <t>PA057</t>
        </is>
      </c>
      <c r="B73" s="523" t="n"/>
      <c r="C73" s="523" t="n"/>
      <c r="D73" s="523" t="n"/>
      <c r="E73" s="523" t="n"/>
    </row>
    <row r="74" ht="18" customFormat="1" customHeight="1" s="652">
      <c r="A74" s="636" t="inlineStr">
        <is>
          <t>PA058</t>
        </is>
      </c>
      <c r="B74" s="523" t="n"/>
      <c r="C74" s="523" t="n"/>
      <c r="D74" s="523" t="n"/>
      <c r="E74" s="523" t="n"/>
    </row>
    <row r="75" ht="18" customFormat="1" customHeight="1" s="652">
      <c r="A75" s="636" t="inlineStr">
        <is>
          <t>PA059</t>
        </is>
      </c>
      <c r="B75" s="523" t="n"/>
      <c r="C75" s="523" t="n"/>
      <c r="D75" s="523" t="n"/>
      <c r="E75" s="523" t="n"/>
    </row>
    <row r="76" ht="18" customFormat="1" customHeight="1" s="652">
      <c r="A76" s="636" t="inlineStr">
        <is>
          <t>PA060</t>
        </is>
      </c>
      <c r="B76" s="523" t="n"/>
      <c r="C76" s="523" t="n"/>
      <c r="D76" s="523" t="n"/>
      <c r="E76" s="523" t="n"/>
    </row>
    <row r="77" ht="18" customFormat="1" customHeight="1" s="652">
      <c r="A77" s="636" t="inlineStr">
        <is>
          <t>PA061</t>
        </is>
      </c>
      <c r="B77" s="523" t="n"/>
      <c r="C77" s="523" t="n"/>
      <c r="D77" s="523" t="n"/>
      <c r="E77" s="523" t="n"/>
    </row>
    <row r="78" ht="18" customFormat="1" customHeight="1" s="652">
      <c r="A78" s="636" t="inlineStr">
        <is>
          <t>PA062</t>
        </is>
      </c>
      <c r="B78" s="523" t="n"/>
      <c r="C78" s="523" t="n"/>
      <c r="D78" s="523" t="n"/>
      <c r="E78" s="523" t="n"/>
    </row>
    <row r="79" ht="41.25" customFormat="1" customHeight="1" s="644">
      <c r="A79" s="636" t="inlineStr">
        <is>
          <t>PA063</t>
        </is>
      </c>
      <c r="B79" s="864" t="n"/>
      <c r="C79" s="895" t="n"/>
      <c r="D79" s="523" t="n"/>
      <c r="E79" s="523" t="n"/>
    </row>
    <row r="80" ht="15" customFormat="1" customHeight="1" s="644">
      <c r="A80" s="865" t="n"/>
      <c r="B80" s="928" t="n"/>
      <c r="C80" s="928" t="n"/>
      <c r="D80" s="928" t="n"/>
      <c r="E80" s="929" t="n"/>
    </row>
    <row r="81" ht="27.75" customFormat="1" customHeight="1" s="651">
      <c r="A81" s="650" t="n"/>
      <c r="B81" s="866" t="n"/>
      <c r="C81" s="956" t="n"/>
      <c r="D81" s="956" t="n"/>
      <c r="E81" s="897" t="n"/>
    </row>
    <row r="82" ht="21.75" customFormat="1" customHeight="1" s="652">
      <c r="A82" s="636" t="inlineStr">
        <is>
          <t>PA064</t>
        </is>
      </c>
      <c r="B82" s="523" t="n"/>
      <c r="C82" s="523" t="n"/>
      <c r="D82" s="523" t="n"/>
      <c r="E82" s="523" t="n"/>
    </row>
    <row r="83" ht="18" customFormat="1" customHeight="1" s="652">
      <c r="A83" s="636" t="inlineStr">
        <is>
          <t>PA065</t>
        </is>
      </c>
      <c r="B83" s="523" t="n"/>
      <c r="C83" s="523" t="n"/>
      <c r="D83" s="523" t="n"/>
      <c r="E83" s="523" t="n"/>
    </row>
    <row r="84" ht="18" customFormat="1" customHeight="1" s="652">
      <c r="A84" s="636" t="inlineStr">
        <is>
          <t>PA066</t>
        </is>
      </c>
      <c r="B84" s="523" t="n"/>
      <c r="C84" s="523" t="n"/>
      <c r="D84" s="523" t="n"/>
      <c r="E84" s="523" t="n"/>
    </row>
    <row r="85" ht="18" customFormat="1" customHeight="1" s="652">
      <c r="A85" s="636" t="inlineStr">
        <is>
          <t>PA067</t>
        </is>
      </c>
      <c r="B85" s="523" t="n"/>
      <c r="C85" s="523" t="n"/>
      <c r="D85" s="523" t="n"/>
      <c r="E85" s="523" t="n"/>
    </row>
    <row r="86" ht="18" customFormat="1" customHeight="1" s="652">
      <c r="A86" s="636" t="inlineStr">
        <is>
          <t>PA068</t>
        </is>
      </c>
      <c r="B86" s="523" t="n"/>
      <c r="C86" s="523" t="n"/>
      <c r="D86" s="523" t="n"/>
      <c r="E86" s="523" t="n"/>
    </row>
    <row r="87" ht="18" customFormat="1" customHeight="1" s="652">
      <c r="A87" s="636" t="inlineStr">
        <is>
          <t>PA069</t>
        </is>
      </c>
      <c r="B87" s="523" t="n"/>
      <c r="C87" s="523" t="n"/>
      <c r="D87" s="523" t="n"/>
      <c r="E87" s="523" t="n"/>
    </row>
    <row r="88" ht="18" customFormat="1" customHeight="1" s="652">
      <c r="A88" s="636" t="inlineStr">
        <is>
          <t>PA070</t>
        </is>
      </c>
      <c r="B88" s="523" t="n"/>
      <c r="C88" s="523" t="n"/>
      <c r="D88" s="523" t="n"/>
      <c r="E88" s="523" t="n"/>
    </row>
    <row r="89" ht="18" customFormat="1" customHeight="1" s="652">
      <c r="A89" s="636" t="inlineStr">
        <is>
          <t>PA071</t>
        </is>
      </c>
      <c r="B89" s="523" t="n"/>
      <c r="C89" s="523" t="n"/>
      <c r="D89" s="523" t="n"/>
      <c r="E89" s="523" t="n"/>
    </row>
    <row r="90" ht="18" customFormat="1" customHeight="1" s="652">
      <c r="A90" s="636" t="inlineStr">
        <is>
          <t>PA072</t>
        </is>
      </c>
      <c r="B90" s="523" t="n"/>
      <c r="C90" s="523" t="n"/>
      <c r="D90" s="523" t="n"/>
      <c r="E90" s="523" t="n"/>
    </row>
    <row r="91" ht="18" customFormat="1" customHeight="1" s="652">
      <c r="A91" s="636" t="inlineStr">
        <is>
          <t>PA073</t>
        </is>
      </c>
      <c r="B91" s="523" t="n"/>
      <c r="C91" s="523" t="n"/>
      <c r="D91" s="523" t="n"/>
      <c r="E91" s="523" t="n"/>
    </row>
    <row r="92" ht="18" customFormat="1" customHeight="1" s="652">
      <c r="A92" s="636" t="inlineStr">
        <is>
          <t>PA074</t>
        </is>
      </c>
      <c r="B92" s="523" t="n"/>
      <c r="C92" s="523" t="n"/>
      <c r="D92" s="523" t="n"/>
      <c r="E92" s="523" t="n"/>
    </row>
    <row r="93" ht="18" customFormat="1" customHeight="1" s="652">
      <c r="A93" s="636" t="inlineStr">
        <is>
          <t>PA075</t>
        </is>
      </c>
      <c r="B93" s="523" t="n"/>
      <c r="C93" s="523" t="n"/>
      <c r="D93" s="523" t="n"/>
      <c r="E93" s="523" t="n"/>
    </row>
    <row r="94" ht="18" customFormat="1" customHeight="1" s="652">
      <c r="A94" s="636" t="inlineStr">
        <is>
          <t>PA076</t>
        </is>
      </c>
      <c r="B94" s="523" t="n"/>
      <c r="C94" s="523" t="n"/>
      <c r="D94" s="523" t="n"/>
      <c r="E94" s="523" t="n"/>
    </row>
    <row r="95" ht="18" customFormat="1" customHeight="1" s="652">
      <c r="A95" s="636" t="inlineStr">
        <is>
          <t>PA077</t>
        </is>
      </c>
      <c r="B95" s="523" t="n"/>
      <c r="C95" s="523" t="n"/>
      <c r="D95" s="523" t="n"/>
      <c r="E95" s="523" t="n"/>
    </row>
    <row r="96" ht="18" customFormat="1" customHeight="1" s="652">
      <c r="A96" s="636" t="inlineStr">
        <is>
          <t>PA078</t>
        </is>
      </c>
      <c r="B96" s="523" t="n"/>
      <c r="C96" s="523" t="n"/>
      <c r="D96" s="523" t="n"/>
      <c r="E96" s="523" t="n"/>
    </row>
    <row r="97" ht="18" customFormat="1" customHeight="1" s="652">
      <c r="A97" s="636" t="inlineStr">
        <is>
          <t>PA079</t>
        </is>
      </c>
      <c r="B97" s="523" t="n"/>
      <c r="C97" s="523" t="n"/>
      <c r="D97" s="523" t="n"/>
      <c r="E97" s="523" t="n"/>
    </row>
    <row r="98" ht="18" customFormat="1" customHeight="1" s="652">
      <c r="A98" s="636" t="inlineStr">
        <is>
          <t>PA080</t>
        </is>
      </c>
      <c r="B98" s="523" t="n"/>
      <c r="C98" s="523" t="n"/>
      <c r="D98" s="523" t="n"/>
      <c r="E98" s="523" t="n"/>
    </row>
    <row r="99" ht="18" customFormat="1" customHeight="1" s="652">
      <c r="A99" s="636" t="inlineStr">
        <is>
          <t>PA081</t>
        </is>
      </c>
      <c r="B99" s="523" t="n"/>
      <c r="C99" s="523" t="n"/>
      <c r="D99" s="523" t="n"/>
      <c r="E99" s="523" t="n"/>
    </row>
    <row r="100" ht="18" customFormat="1" customHeight="1" s="652">
      <c r="A100" s="636" t="inlineStr">
        <is>
          <t>PA082</t>
        </is>
      </c>
      <c r="B100" s="523" t="n"/>
      <c r="C100" s="523" t="n"/>
      <c r="D100" s="523" t="n"/>
      <c r="E100" s="523" t="n"/>
    </row>
    <row r="101" ht="18" customFormat="1" customHeight="1" s="652">
      <c r="A101" s="636" t="inlineStr">
        <is>
          <t>PA083</t>
        </is>
      </c>
      <c r="B101" s="523" t="n"/>
      <c r="C101" s="523" t="n"/>
      <c r="D101" s="523" t="n"/>
      <c r="E101" s="523" t="n"/>
    </row>
    <row r="102" ht="26.25" customFormat="1" customHeight="1" s="644">
      <c r="A102" s="636" t="inlineStr">
        <is>
          <t>PA084</t>
        </is>
      </c>
      <c r="B102" s="864" t="n"/>
      <c r="C102" s="895" t="n"/>
      <c r="D102" s="523" t="n"/>
      <c r="E102" s="523" t="n"/>
    </row>
    <row r="103" ht="15" customFormat="1" customHeight="1" s="644">
      <c r="A103" s="865" t="n"/>
      <c r="B103" s="928" t="n"/>
      <c r="C103" s="928" t="n"/>
      <c r="D103" s="928" t="n"/>
      <c r="E103" s="929" t="n"/>
    </row>
    <row r="104" ht="27.75" customFormat="1" customHeight="1" s="651">
      <c r="A104" s="650" t="n"/>
      <c r="B104" s="866" t="n"/>
      <c r="C104" s="956" t="n"/>
      <c r="D104" s="956" t="n"/>
      <c r="E104" s="897" t="n"/>
    </row>
    <row r="105" ht="22.5" customFormat="1" customHeight="1" s="652">
      <c r="A105" s="636" t="inlineStr">
        <is>
          <t>PA085</t>
        </is>
      </c>
      <c r="B105" s="523" t="n"/>
      <c r="C105" s="523" t="n"/>
      <c r="D105" s="523" t="n"/>
      <c r="E105" s="523" t="n"/>
    </row>
    <row r="106" ht="17.25" customFormat="1" customHeight="1" s="652">
      <c r="A106" s="636" t="inlineStr">
        <is>
          <t>PA086</t>
        </is>
      </c>
      <c r="B106" s="523" t="n"/>
      <c r="C106" s="523" t="n"/>
      <c r="D106" s="523" t="n"/>
      <c r="E106" s="523" t="n"/>
    </row>
    <row r="107" ht="17.25" customFormat="1" customHeight="1" s="652">
      <c r="A107" s="636" t="inlineStr">
        <is>
          <t>PA087</t>
        </is>
      </c>
      <c r="B107" s="523" t="n"/>
      <c r="C107" s="523" t="n"/>
      <c r="D107" s="523" t="n"/>
      <c r="E107" s="523" t="n"/>
    </row>
    <row r="108" ht="17.25" customFormat="1" customHeight="1" s="652">
      <c r="A108" s="636" t="inlineStr">
        <is>
          <t>PA088</t>
        </is>
      </c>
      <c r="B108" s="523" t="n"/>
      <c r="C108" s="523" t="n"/>
      <c r="D108" s="523" t="n"/>
      <c r="E108" s="523" t="n"/>
    </row>
    <row r="109" ht="17.25" customFormat="1" customHeight="1" s="652">
      <c r="A109" s="636" t="inlineStr">
        <is>
          <t>PA089</t>
        </is>
      </c>
      <c r="B109" s="523" t="n"/>
      <c r="C109" s="523" t="n"/>
      <c r="D109" s="523" t="n"/>
      <c r="E109" s="523" t="n"/>
    </row>
    <row r="110" ht="17.25" customFormat="1" customHeight="1" s="652">
      <c r="A110" s="636" t="inlineStr">
        <is>
          <t>PA090</t>
        </is>
      </c>
      <c r="B110" s="523" t="n"/>
      <c r="C110" s="523" t="n"/>
      <c r="D110" s="523" t="n"/>
      <c r="E110" s="523" t="n"/>
    </row>
    <row r="111" ht="17.25" customFormat="1" customHeight="1" s="652">
      <c r="A111" s="636" t="inlineStr">
        <is>
          <t>PA091</t>
        </is>
      </c>
      <c r="B111" s="523" t="n"/>
      <c r="C111" s="523" t="n"/>
      <c r="D111" s="523" t="n"/>
      <c r="E111" s="523" t="n"/>
    </row>
    <row r="112" ht="17.25" customFormat="1" customHeight="1" s="652">
      <c r="A112" s="636" t="inlineStr">
        <is>
          <t>PA092</t>
        </is>
      </c>
      <c r="B112" s="523" t="n"/>
      <c r="C112" s="523" t="n"/>
      <c r="D112" s="523" t="n"/>
      <c r="E112" s="523" t="n"/>
    </row>
    <row r="113" ht="17.25" customFormat="1" customHeight="1" s="652">
      <c r="A113" s="636" t="inlineStr">
        <is>
          <t>PA093</t>
        </is>
      </c>
      <c r="B113" s="523" t="n"/>
      <c r="C113" s="523" t="n"/>
      <c r="D113" s="523" t="n"/>
      <c r="E113" s="523" t="n"/>
    </row>
    <row r="114" ht="17.25" customFormat="1" customHeight="1" s="652">
      <c r="A114" s="636" t="inlineStr">
        <is>
          <t>PA094</t>
        </is>
      </c>
      <c r="B114" s="523" t="n"/>
      <c r="C114" s="523" t="n"/>
      <c r="D114" s="523" t="n"/>
      <c r="E114" s="523" t="n"/>
    </row>
    <row r="115" ht="17.25" customFormat="1" customHeight="1" s="652">
      <c r="A115" s="636" t="inlineStr">
        <is>
          <t>PA095</t>
        </is>
      </c>
      <c r="B115" s="523" t="n"/>
      <c r="C115" s="523" t="n"/>
      <c r="D115" s="523" t="n"/>
      <c r="E115" s="523" t="n"/>
    </row>
    <row r="116" ht="17.25" customFormat="1" customHeight="1" s="652">
      <c r="A116" s="636" t="inlineStr">
        <is>
          <t>PA096</t>
        </is>
      </c>
      <c r="B116" s="523" t="n"/>
      <c r="C116" s="523" t="n"/>
      <c r="D116" s="523" t="n"/>
      <c r="E116" s="523" t="n"/>
    </row>
    <row r="117" ht="17.25" customFormat="1" customHeight="1" s="652">
      <c r="A117" s="636" t="inlineStr">
        <is>
          <t>PA097</t>
        </is>
      </c>
      <c r="B117" s="523" t="n"/>
      <c r="C117" s="523" t="n"/>
      <c r="D117" s="523" t="n"/>
      <c r="E117" s="523" t="n"/>
    </row>
    <row r="118" ht="17.25" customFormat="1" customHeight="1" s="652">
      <c r="A118" s="636" t="inlineStr">
        <is>
          <t>PA098</t>
        </is>
      </c>
      <c r="B118" s="523" t="n"/>
      <c r="C118" s="523" t="n"/>
      <c r="D118" s="523" t="n"/>
      <c r="E118" s="523" t="n"/>
    </row>
    <row r="119" ht="17.25" customFormat="1" customHeight="1" s="652">
      <c r="A119" s="636" t="inlineStr">
        <is>
          <t>PA099</t>
        </is>
      </c>
      <c r="B119" s="523" t="n"/>
      <c r="C119" s="523" t="n"/>
      <c r="D119" s="523" t="n"/>
      <c r="E119" s="523" t="n"/>
    </row>
    <row r="120" ht="17.25" customFormat="1" customHeight="1" s="652">
      <c r="A120" s="636" t="inlineStr">
        <is>
          <t>PA100</t>
        </is>
      </c>
      <c r="B120" s="523" t="n"/>
      <c r="C120" s="523" t="n"/>
      <c r="D120" s="523" t="n"/>
      <c r="E120" s="523" t="n"/>
    </row>
    <row r="121" ht="17.25" customFormat="1" customHeight="1" s="652">
      <c r="A121" s="636" t="inlineStr">
        <is>
          <t>PA101</t>
        </is>
      </c>
      <c r="B121" s="523" t="n"/>
      <c r="C121" s="523" t="n"/>
      <c r="D121" s="523" t="n"/>
      <c r="E121" s="523" t="n"/>
    </row>
    <row r="122" ht="17.25" customFormat="1" customHeight="1" s="652">
      <c r="A122" s="636" t="inlineStr">
        <is>
          <t>PA102</t>
        </is>
      </c>
      <c r="B122" s="523" t="n"/>
      <c r="C122" s="523" t="n"/>
      <c r="D122" s="523" t="n"/>
      <c r="E122" s="523" t="n"/>
    </row>
    <row r="123" ht="17.25" customFormat="1" customHeight="1" s="652">
      <c r="A123" s="636" t="inlineStr">
        <is>
          <t>PA103</t>
        </is>
      </c>
      <c r="B123" s="523" t="n"/>
      <c r="C123" s="523" t="n"/>
      <c r="D123" s="523" t="n"/>
      <c r="E123" s="523" t="n"/>
    </row>
    <row r="124" ht="17.25" customFormat="1" customHeight="1" s="652">
      <c r="A124" s="636" t="inlineStr">
        <is>
          <t>PA104</t>
        </is>
      </c>
      <c r="B124" s="523" t="n"/>
      <c r="C124" s="523" t="n"/>
      <c r="D124" s="523" t="n"/>
      <c r="E124" s="523" t="n"/>
    </row>
    <row r="125" ht="26.25" customFormat="1" customHeight="1" s="644">
      <c r="A125" s="636" t="inlineStr">
        <is>
          <t>PA105</t>
        </is>
      </c>
      <c r="B125" s="864" t="n"/>
      <c r="C125" s="895" t="n"/>
      <c r="D125" s="523" t="n"/>
      <c r="E125" s="523" t="n"/>
    </row>
    <row r="126" ht="15" customFormat="1" customHeight="1" s="644">
      <c r="A126" s="865" t="n"/>
      <c r="B126" s="928" t="n"/>
      <c r="C126" s="928" t="n"/>
      <c r="D126" s="928" t="n"/>
      <c r="E126" s="929" t="n"/>
    </row>
    <row r="127" ht="26.25" customFormat="1" customHeight="1" s="644">
      <c r="A127" s="636" t="inlineStr">
        <is>
          <t>PA106</t>
        </is>
      </c>
      <c r="B127" s="864" t="n"/>
      <c r="C127" s="895" t="n"/>
      <c r="D127" s="523" t="n"/>
      <c r="E127" s="523" t="n"/>
    </row>
    <row r="128" ht="12" customFormat="1" customHeight="1" s="644">
      <c r="A128" s="653" t="n"/>
      <c r="B128" s="654" t="n"/>
      <c r="C128" s="655" t="n"/>
      <c r="D128" s="656" t="n"/>
      <c r="E128" s="656" t="n"/>
    </row>
    <row r="129" ht="15.75" customFormat="1" customHeight="1" s="644">
      <c r="A129" s="653" t="inlineStr">
        <is>
          <t>* Souscriptions</t>
        </is>
      </c>
      <c r="C129" s="651" t="n"/>
    </row>
    <row r="130" ht="13.5" customFormat="1" customHeight="1" s="644">
      <c r="A130" s="651" t="inlineStr">
        <is>
          <t>** Montants libérés, nets des provisions.</t>
        </is>
      </c>
      <c r="C130" s="65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1urdw2ek6foVHyCp3lDJQ==" formatRows="1" sort="1" spinCount="100000" hashValue="QAwT0uX6BVX/vwrQXfJT9TxD6JBBy4MqcisgUrVnIDy13CNB+HJwM7c6v4bC5X0wxvFG/2pzkGcIDX3QYnV/0A=="/>
  <mergeCells count="21">
    <mergeCell ref="A34:E34"/>
    <mergeCell ref="D10:E10"/>
    <mergeCell ref="B125:C125"/>
    <mergeCell ref="A103:E103"/>
    <mergeCell ref="B104:E104"/>
    <mergeCell ref="C10:C11"/>
    <mergeCell ref="B56:C56"/>
    <mergeCell ref="B102:C102"/>
    <mergeCell ref="B35:E35"/>
    <mergeCell ref="B81:E81"/>
    <mergeCell ref="B10:B11"/>
    <mergeCell ref="A80:E80"/>
    <mergeCell ref="A1:D1"/>
    <mergeCell ref="A57:E57"/>
    <mergeCell ref="B12:E12"/>
    <mergeCell ref="B58:E58"/>
    <mergeCell ref="B127:C127"/>
    <mergeCell ref="A10:A11"/>
    <mergeCell ref="A126:E126"/>
    <mergeCell ref="B33:C33"/>
    <mergeCell ref="B79:C79"/>
  </mergeCells>
  <pageMargins left="0.708333333333333" right="0.708333333333333" top="0.747916666666667" bottom="0.747916666666667" header="0.511811023622047" footer="0.315277777777778"/>
  <pageSetup orientation="portrait" paperSize="9" scale="54" horizontalDpi="300" verticalDpi="300"/>
  <headerFooter>
    <oddHeader/>
    <oddFooter>&amp;R&amp;P</oddFooter>
    <evenHeader/>
    <evenFooter/>
    <firstHeader/>
    <firstFooter/>
  </headerFooter>
  <rowBreaks count="2" manualBreakCount="2">
    <brk id="56" min="0" max="16383" man="1"/>
    <brk id="102" min="0" max="16383" man="1"/>
  </rowBreak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ML71"/>
  <sheetViews>
    <sheetView view="pageBreakPreview" topLeftCell="A10" zoomScale="80" zoomScaleNormal="70" zoomScaleSheetLayoutView="80" workbookViewId="0">
      <selection activeCell="H14" sqref="H14"/>
    </sheetView>
  </sheetViews>
  <sheetFormatPr baseColWidth="10" defaultColWidth="10" defaultRowHeight="17.25" customHeight="1"/>
  <cols>
    <col collapsed="1" width="12.54296875" customWidth="1" style="877" min="1" max="1"/>
    <col collapsed="1" width="16.1796875" customWidth="1" style="877" min="2" max="2"/>
    <col collapsed="1" width="31.81640625" customWidth="1" style="877" min="3" max="3"/>
    <col collapsed="1" width="14.90625" customWidth="1" style="877" min="4" max="6"/>
    <col collapsed="1" width="17.81640625" customWidth="1" style="877" min="7" max="7"/>
    <col collapsed="1" width="16.90625" customWidth="1" style="877" min="8" max="8"/>
    <col collapsed="1" width="18.08984375" customWidth="1" style="877" min="9" max="9"/>
    <col collapsed="1" width="21.08984375" customWidth="1" style="877" min="10" max="12"/>
    <col collapsed="1" width="30" customWidth="1" style="877" min="13" max="13"/>
    <col collapsed="1" width="10" customWidth="1" style="877" min="14" max="16384"/>
  </cols>
  <sheetData>
    <row r="1" ht="29.25" customFormat="1" customHeight="1" s="770">
      <c r="A1" s="767" t="inlineStr">
        <is>
          <t xml:space="preserve"> PARTICIPATIONS DANS DES ENTITES COMMERCIALES </t>
        </is>
      </c>
      <c r="B1" s="886" t="n"/>
      <c r="C1" s="886" t="n"/>
      <c r="D1" s="886" t="n"/>
      <c r="E1" s="886" t="n"/>
      <c r="F1" s="886" t="n"/>
      <c r="G1" s="886" t="n"/>
      <c r="H1" s="886" t="n"/>
      <c r="I1" s="964" t="inlineStr">
        <is>
          <t>EP35</t>
        </is>
      </c>
      <c r="M1" s="967" t="n"/>
    </row>
    <row r="2" ht="31.5" customFormat="1" customHeight="1" s="777">
      <c r="C2" s="317" t="n"/>
      <c r="D2" s="296" t="n"/>
      <c r="E2" s="965" t="n"/>
      <c r="F2" s="965" t="n"/>
      <c r="G2" s="965" t="n"/>
      <c r="H2" s="965" t="n"/>
      <c r="I2" s="965" t="n"/>
      <c r="J2" s="965" t="n"/>
      <c r="K2" s="967" t="n"/>
      <c r="L2" s="965" t="n"/>
      <c r="M2" s="965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  <c r="AML2" s="770" t="n"/>
    </row>
    <row r="3" ht="17.5" customHeight="1" s="885">
      <c r="C3" s="319" t="n"/>
      <c r="F3" s="970" t="n"/>
      <c r="G3" s="970" t="n"/>
      <c r="H3" s="970" t="n"/>
      <c r="I3" s="970" t="n"/>
      <c r="J3" s="970" t="n"/>
      <c r="K3" s="970" t="n"/>
      <c r="L3" s="970" t="n"/>
      <c r="M3" s="970" t="n"/>
    </row>
    <row r="4" ht="9.75" customHeight="1" s="885">
      <c r="A4" s="319" t="n"/>
      <c r="B4" s="319" t="n"/>
      <c r="D4" s="970" t="n"/>
      <c r="F4" s="970" t="n"/>
      <c r="G4" s="970" t="n"/>
      <c r="H4" s="970" t="n"/>
      <c r="I4" s="970" t="n"/>
      <c r="J4" s="970" t="n"/>
      <c r="K4" s="970" t="n"/>
      <c r="L4" s="970" t="n"/>
      <c r="M4" s="970" t="n"/>
    </row>
    <row r="5" ht="17.5" customHeight="1" s="885">
      <c r="A5" s="319" t="n"/>
      <c r="B5" s="319" t="n"/>
      <c r="D5" s="970" t="n"/>
      <c r="F5" s="970" t="n"/>
      <c r="G5" s="970" t="n"/>
      <c r="H5" s="970" t="n"/>
      <c r="I5" s="970" t="n"/>
      <c r="J5" s="970" t="n"/>
      <c r="K5" s="970" t="n"/>
      <c r="L5" s="970" t="n"/>
      <c r="M5" s="970" t="n"/>
    </row>
    <row r="6" ht="17.5" customHeight="1" s="885">
      <c r="D6" s="970" t="n"/>
      <c r="F6" s="970" t="n"/>
      <c r="G6" s="970" t="n"/>
      <c r="H6" s="970" t="n"/>
      <c r="I6" s="970" t="n"/>
      <c r="J6" s="970" t="n"/>
      <c r="K6" s="970" t="n"/>
      <c r="L6" s="970" t="n"/>
      <c r="M6" s="970" t="n"/>
    </row>
    <row r="7" ht="18" customFormat="1" customHeight="1" s="770">
      <c r="A7" s="315" t="n"/>
      <c r="B7" s="315" t="n"/>
      <c r="C7" s="315" t="n"/>
      <c r="D7" s="965" t="n"/>
      <c r="F7" s="965" t="n"/>
      <c r="G7" s="965" t="n"/>
      <c r="J7" s="965" t="n"/>
    </row>
    <row r="8" ht="60" customFormat="1" customHeight="1" s="649">
      <c r="A8" s="868" t="inlineStr">
        <is>
          <t>Code DISPRU</t>
        </is>
      </c>
      <c r="B8" s="868" t="inlineStr">
        <is>
          <t>Dénomination de l'entreprise émettrice</t>
        </is>
      </c>
      <c r="C8" s="929" t="n"/>
      <c r="D8" s="868" t="inlineStr">
        <is>
          <t>Capital de l'entreprise</t>
        </is>
      </c>
      <c r="E8" s="868" t="inlineStr">
        <is>
          <t xml:space="preserve">Montant des participations dans des entités commerciales </t>
        </is>
      </c>
      <c r="F8" s="894" t="n"/>
      <c r="G8" s="894" t="n"/>
      <c r="H8" s="895" t="n"/>
      <c r="I8" s="868" t="inlineStr">
        <is>
          <t>Total participations sur FPE ***</t>
        </is>
      </c>
    </row>
    <row r="9" ht="60" customFormat="1" customHeight="1" s="649">
      <c r="A9" s="958" t="n"/>
      <c r="B9" s="959" t="n"/>
      <c r="C9" s="957" t="n"/>
      <c r="D9" s="958" t="n"/>
      <c r="E9" s="868" t="inlineStr">
        <is>
          <t>brut *</t>
        </is>
      </c>
      <c r="F9" s="868" t="inlineStr">
        <is>
          <t>net **</t>
        </is>
      </c>
      <c r="G9" s="868" t="inlineStr">
        <is>
          <t>Pourcentage du capital détenu</t>
        </is>
      </c>
      <c r="H9" s="868" t="inlineStr">
        <is>
          <t>Pourcentage du FPB T1 ***</t>
        </is>
      </c>
      <c r="I9" s="896" t="n"/>
    </row>
    <row r="10" ht="35.25" customFormat="1" customHeight="1" s="649">
      <c r="A10" s="958" t="n"/>
      <c r="B10" s="959" t="n"/>
      <c r="C10" s="957" t="n"/>
      <c r="D10" s="896" t="n"/>
      <c r="E10" s="896" t="n"/>
      <c r="F10" s="896" t="n"/>
      <c r="G10" s="868" t="inlineStr">
        <is>
          <t>(25% maximum)</t>
        </is>
      </c>
      <c r="H10" s="868" t="inlineStr">
        <is>
          <t>(15 % maximum)</t>
        </is>
      </c>
      <c r="I10" s="868" t="inlineStr">
        <is>
          <t>(60 % maximum)</t>
        </is>
      </c>
    </row>
    <row r="11" ht="35.25" customFormat="1" customHeight="1" s="295">
      <c r="A11" s="896" t="n"/>
      <c r="B11" s="962" t="n"/>
      <c r="C11" s="897" t="n"/>
      <c r="D11" s="145" t="inlineStr">
        <is>
          <t>(a)</t>
        </is>
      </c>
      <c r="E11" s="145" t="inlineStr">
        <is>
          <t>(b)</t>
        </is>
      </c>
      <c r="F11" s="145" t="inlineStr">
        <is>
          <t>(c)</t>
        </is>
      </c>
      <c r="G11" s="145" t="inlineStr">
        <is>
          <t>d=b/a (%)</t>
        </is>
      </c>
      <c r="H11" s="145" t="inlineStr">
        <is>
          <t>e=c/ FPB (%)</t>
        </is>
      </c>
      <c r="I11" s="145" t="inlineStr">
        <is>
          <t>f=Total de c / FPE (%)</t>
        </is>
      </c>
    </row>
    <row r="12" ht="17.5" customHeight="1" s="885">
      <c r="A12" s="636" t="inlineStr">
        <is>
          <t>PA107</t>
        </is>
      </c>
      <c r="B12" s="872" t="n"/>
      <c r="C12" s="1011" t="n"/>
      <c r="D12" s="523" t="n"/>
      <c r="E12" s="523" t="n"/>
      <c r="F12" s="523" t="n"/>
      <c r="G12" s="523">
        <f>E12/D12</f>
        <v/>
      </c>
      <c r="H12" s="523">
        <f>F12/D68</f>
        <v/>
      </c>
      <c r="I12" s="873" t="n"/>
    </row>
    <row r="13" ht="17.5" customHeight="1" s="885">
      <c r="A13" s="636" t="inlineStr">
        <is>
          <t>PA108</t>
        </is>
      </c>
      <c r="B13" s="872" t="n"/>
      <c r="C13" s="1011" t="n"/>
      <c r="D13" s="523" t="n"/>
      <c r="E13" s="523" t="n"/>
      <c r="F13" s="523" t="n"/>
      <c r="G13" s="523">
        <f>E13/D13</f>
        <v/>
      </c>
      <c r="H13" s="523">
        <f>F13/D68</f>
        <v/>
      </c>
      <c r="I13" s="1020" t="n"/>
    </row>
    <row r="14" ht="17.5" customHeight="1" s="885">
      <c r="A14" s="636" t="inlineStr">
        <is>
          <t>PA109</t>
        </is>
      </c>
      <c r="B14" s="872" t="n"/>
      <c r="C14" s="1011" t="n"/>
      <c r="D14" s="523" t="n"/>
      <c r="E14" s="523" t="n"/>
      <c r="F14" s="523" t="n"/>
      <c r="G14" s="523" t="n"/>
      <c r="H14" s="523" t="n"/>
      <c r="I14" s="1020" t="n"/>
    </row>
    <row r="15" ht="17.5" customHeight="1" s="885">
      <c r="A15" s="636" t="inlineStr">
        <is>
          <t>PA110</t>
        </is>
      </c>
      <c r="B15" s="872" t="n"/>
      <c r="C15" s="1011" t="n"/>
      <c r="D15" s="523" t="n"/>
      <c r="E15" s="523" t="n"/>
      <c r="F15" s="523" t="n"/>
      <c r="G15" s="523" t="n"/>
      <c r="H15" s="523" t="n"/>
      <c r="I15" s="1020" t="n"/>
    </row>
    <row r="16" ht="17.5" customHeight="1" s="885">
      <c r="A16" s="636" t="inlineStr">
        <is>
          <t>PA111</t>
        </is>
      </c>
      <c r="B16" s="872" t="n"/>
      <c r="C16" s="1011" t="n"/>
      <c r="D16" s="523" t="n"/>
      <c r="E16" s="523" t="n"/>
      <c r="F16" s="523" t="n"/>
      <c r="G16" s="523" t="n"/>
      <c r="H16" s="523" t="n"/>
      <c r="I16" s="1020" t="n"/>
    </row>
    <row r="17" ht="17.5" customHeight="1" s="885">
      <c r="A17" s="636" t="inlineStr">
        <is>
          <t>PA112</t>
        </is>
      </c>
      <c r="B17" s="872" t="n"/>
      <c r="C17" s="1011" t="n"/>
      <c r="D17" s="523" t="n"/>
      <c r="E17" s="523" t="n"/>
      <c r="F17" s="523" t="n"/>
      <c r="G17" s="523" t="n"/>
      <c r="H17" s="523" t="n"/>
      <c r="I17" s="1020" t="n"/>
    </row>
    <row r="18" ht="17.5" customHeight="1" s="885">
      <c r="A18" s="636" t="inlineStr">
        <is>
          <t>PA113</t>
        </is>
      </c>
      <c r="B18" s="872" t="n"/>
      <c r="C18" s="1011" t="n"/>
      <c r="D18" s="523" t="n"/>
      <c r="E18" s="523" t="n"/>
      <c r="F18" s="523" t="n"/>
      <c r="G18" s="523" t="n"/>
      <c r="H18" s="523" t="n"/>
      <c r="I18" s="1020" t="n"/>
    </row>
    <row r="19" ht="17.5" customHeight="1" s="885">
      <c r="A19" s="636" t="inlineStr">
        <is>
          <t>PA114</t>
        </is>
      </c>
      <c r="B19" s="872" t="n"/>
      <c r="C19" s="1011" t="n"/>
      <c r="D19" s="523" t="n"/>
      <c r="E19" s="523" t="n"/>
      <c r="F19" s="523" t="n"/>
      <c r="G19" s="523" t="n"/>
      <c r="H19" s="523" t="n"/>
      <c r="I19" s="1020" t="n"/>
    </row>
    <row r="20" ht="17.5" customHeight="1" s="885">
      <c r="A20" s="636" t="inlineStr">
        <is>
          <t>PA115</t>
        </is>
      </c>
      <c r="B20" s="872" t="n"/>
      <c r="C20" s="1011" t="n"/>
      <c r="D20" s="523" t="n"/>
      <c r="E20" s="523" t="n"/>
      <c r="F20" s="523" t="n"/>
      <c r="G20" s="523" t="n"/>
      <c r="H20" s="523" t="n"/>
      <c r="I20" s="1020" t="n"/>
    </row>
    <row r="21" ht="17.5" customHeight="1" s="885">
      <c r="A21" s="636" t="inlineStr">
        <is>
          <t>PA116</t>
        </is>
      </c>
      <c r="B21" s="872" t="n"/>
      <c r="C21" s="1011" t="n"/>
      <c r="D21" s="523" t="n"/>
      <c r="E21" s="523" t="n"/>
      <c r="F21" s="523" t="n"/>
      <c r="G21" s="523" t="n"/>
      <c r="H21" s="523" t="n"/>
      <c r="I21" s="1020" t="n"/>
    </row>
    <row r="22" ht="17.5" customHeight="1" s="885">
      <c r="A22" s="636" t="inlineStr">
        <is>
          <t>PA117</t>
        </is>
      </c>
      <c r="B22" s="872" t="n"/>
      <c r="C22" s="1011" t="n"/>
      <c r="D22" s="523" t="n"/>
      <c r="E22" s="523" t="n"/>
      <c r="F22" s="523" t="n"/>
      <c r="G22" s="523" t="n"/>
      <c r="H22" s="523" t="n"/>
      <c r="I22" s="1020" t="n"/>
    </row>
    <row r="23" ht="17.5" customHeight="1" s="885">
      <c r="A23" s="636" t="inlineStr">
        <is>
          <t>PA118</t>
        </is>
      </c>
      <c r="B23" s="872" t="n"/>
      <c r="C23" s="1011" t="n"/>
      <c r="D23" s="523" t="n"/>
      <c r="E23" s="523" t="n"/>
      <c r="F23" s="523" t="n"/>
      <c r="G23" s="523" t="n"/>
      <c r="H23" s="523" t="n"/>
      <c r="I23" s="1020" t="n"/>
    </row>
    <row r="24" ht="17.5" customHeight="1" s="885">
      <c r="A24" s="636" t="inlineStr">
        <is>
          <t>PA119</t>
        </is>
      </c>
      <c r="B24" s="872" t="n"/>
      <c r="C24" s="1011" t="n"/>
      <c r="D24" s="523" t="n"/>
      <c r="E24" s="523" t="n"/>
      <c r="F24" s="523" t="n"/>
      <c r="G24" s="523" t="n"/>
      <c r="H24" s="523" t="n"/>
      <c r="I24" s="1020" t="n"/>
    </row>
    <row r="25" ht="17.5" customHeight="1" s="885">
      <c r="A25" s="636" t="inlineStr">
        <is>
          <t>PA120</t>
        </is>
      </c>
      <c r="B25" s="872" t="n"/>
      <c r="C25" s="1011" t="n"/>
      <c r="D25" s="523" t="n"/>
      <c r="E25" s="523" t="n"/>
      <c r="F25" s="523" t="n"/>
      <c r="G25" s="523" t="n"/>
      <c r="H25" s="523" t="n"/>
      <c r="I25" s="1020" t="n"/>
    </row>
    <row r="26" ht="17.5" customHeight="1" s="885">
      <c r="A26" s="636" t="inlineStr">
        <is>
          <t>PA121</t>
        </is>
      </c>
      <c r="B26" s="872" t="n"/>
      <c r="C26" s="1011" t="n"/>
      <c r="D26" s="523" t="n"/>
      <c r="E26" s="523" t="n"/>
      <c r="F26" s="523" t="n"/>
      <c r="G26" s="523" t="n"/>
      <c r="H26" s="523" t="n"/>
      <c r="I26" s="1020" t="n"/>
    </row>
    <row r="27" ht="17.5" customHeight="1" s="885">
      <c r="A27" s="636" t="inlineStr">
        <is>
          <t>PA122</t>
        </is>
      </c>
      <c r="B27" s="872" t="n"/>
      <c r="C27" s="1011" t="n"/>
      <c r="D27" s="523" t="n"/>
      <c r="E27" s="523" t="n"/>
      <c r="F27" s="523" t="n"/>
      <c r="G27" s="523" t="n"/>
      <c r="H27" s="523" t="n"/>
      <c r="I27" s="1020" t="n"/>
    </row>
    <row r="28" ht="17.5" customHeight="1" s="885">
      <c r="A28" s="636" t="inlineStr">
        <is>
          <t>PA123</t>
        </is>
      </c>
      <c r="B28" s="872" t="n"/>
      <c r="C28" s="1011" t="n"/>
      <c r="D28" s="523" t="n"/>
      <c r="E28" s="523" t="n"/>
      <c r="F28" s="523" t="n"/>
      <c r="G28" s="523" t="n"/>
      <c r="H28" s="523" t="n"/>
      <c r="I28" s="1020" t="n"/>
    </row>
    <row r="29" ht="17.5" customHeight="1" s="885">
      <c r="A29" s="636" t="inlineStr">
        <is>
          <t>PA124</t>
        </is>
      </c>
      <c r="B29" s="872" t="n"/>
      <c r="C29" s="1011" t="n"/>
      <c r="D29" s="523" t="n"/>
      <c r="E29" s="523" t="n"/>
      <c r="F29" s="523" t="n"/>
      <c r="G29" s="523" t="n"/>
      <c r="H29" s="523" t="n"/>
      <c r="I29" s="1020" t="n"/>
    </row>
    <row r="30" ht="17.5" customHeight="1" s="885">
      <c r="A30" s="636" t="inlineStr">
        <is>
          <t>PA125</t>
        </is>
      </c>
      <c r="B30" s="872" t="n"/>
      <c r="C30" s="1011" t="n"/>
      <c r="D30" s="523" t="n"/>
      <c r="E30" s="523" t="n"/>
      <c r="F30" s="523" t="n"/>
      <c r="G30" s="523" t="n"/>
      <c r="H30" s="523" t="n"/>
      <c r="I30" s="1020" t="n"/>
    </row>
    <row r="31" ht="17.5" customHeight="1" s="885">
      <c r="A31" s="636" t="inlineStr">
        <is>
          <t>PA126</t>
        </is>
      </c>
      <c r="B31" s="872" t="n"/>
      <c r="C31" s="1011" t="n"/>
      <c r="D31" s="523" t="n"/>
      <c r="E31" s="523" t="n"/>
      <c r="F31" s="523" t="n"/>
      <c r="G31" s="523" t="n"/>
      <c r="H31" s="523" t="n"/>
      <c r="I31" s="1021" t="n"/>
    </row>
    <row r="32" ht="17.5" customFormat="1" customHeight="1" s="770">
      <c r="A32" s="636" t="inlineStr">
        <is>
          <t>PA127</t>
        </is>
      </c>
      <c r="B32" s="792" t="n"/>
      <c r="C32" s="895" t="n"/>
      <c r="D32" s="657" t="n"/>
      <c r="E32" s="523">
        <f>E12+E13</f>
        <v/>
      </c>
      <c r="F32" s="523">
        <f>F12+F13</f>
        <v/>
      </c>
      <c r="G32" s="657" t="n"/>
      <c r="H32" s="657" t="n"/>
      <c r="I32" s="523">
        <f>F32/D68</f>
        <v/>
      </c>
    </row>
    <row r="33" ht="18" customFormat="1" customHeight="1" s="770">
      <c r="A33" s="587" t="n"/>
      <c r="B33" s="782" t="n"/>
      <c r="C33" s="42" t="n"/>
      <c r="D33" s="97" t="n"/>
      <c r="E33" s="97" t="n"/>
      <c r="F33" s="97" t="n"/>
      <c r="G33" s="97" t="n"/>
      <c r="H33" s="97" t="n"/>
      <c r="I33" s="97" t="n"/>
      <c r="J33" s="658" t="n"/>
      <c r="K33" s="658" t="n"/>
      <c r="L33" s="658" t="n"/>
      <c r="M33" s="658" t="n"/>
    </row>
    <row r="34" ht="17.5" customFormat="1" customHeight="1" s="770">
      <c r="A34" s="653" t="inlineStr">
        <is>
          <t>* Souscriptions</t>
        </is>
      </c>
      <c r="B34" s="653" t="n"/>
      <c r="C34" s="97" t="n"/>
      <c r="D34" s="40" t="n"/>
      <c r="E34" s="40" t="n"/>
      <c r="F34" s="40" t="n"/>
      <c r="G34" s="97" t="n"/>
      <c r="H34" s="97" t="n"/>
      <c r="I34" s="97" t="n"/>
      <c r="J34" s="658" t="n"/>
      <c r="K34" s="658" t="n"/>
      <c r="L34" s="658" t="n"/>
      <c r="M34" s="658" t="n"/>
    </row>
    <row r="35" ht="17.5" customFormat="1" customHeight="1" s="770">
      <c r="A35" s="651" t="inlineStr">
        <is>
          <t>** Montants libérés, nets des provisions.</t>
        </is>
      </c>
      <c r="B35" s="651" t="n"/>
      <c r="C35" s="97" t="n"/>
      <c r="D35" s="97" t="n"/>
      <c r="E35" s="97" t="n"/>
      <c r="F35" s="97" t="n"/>
      <c r="G35" s="97" t="n"/>
      <c r="H35" s="97" t="n"/>
      <c r="I35" s="97" t="n"/>
      <c r="J35" s="658" t="n"/>
      <c r="K35" s="658" t="n"/>
      <c r="L35" s="658" t="n"/>
      <c r="M35" s="658" t="n"/>
    </row>
    <row r="36" ht="17.5" customFormat="1" customHeight="1" s="770">
      <c r="A36" s="651" t="n"/>
      <c r="B36" s="651" t="n"/>
      <c r="C36" s="97" t="n"/>
      <c r="D36" s="97" t="n"/>
      <c r="E36" s="97" t="n"/>
      <c r="F36" s="97" t="n"/>
      <c r="G36" s="97" t="n"/>
      <c r="H36" s="97" t="n"/>
      <c r="I36" s="97" t="n"/>
      <c r="J36" s="658" t="n"/>
      <c r="K36" s="658" t="n"/>
      <c r="L36" s="658" t="n"/>
      <c r="M36" s="658" t="n"/>
    </row>
    <row r="37" ht="17.5" customFormat="1" customHeight="1" s="770">
      <c r="A37" s="651" t="n"/>
      <c r="B37" s="651" t="n"/>
      <c r="C37" s="97" t="n"/>
      <c r="D37" s="97" t="n"/>
      <c r="E37" s="97" t="n"/>
      <c r="F37" s="97" t="n"/>
      <c r="G37" s="97" t="n"/>
      <c r="H37" s="97" t="n"/>
      <c r="I37" s="97" t="n"/>
      <c r="J37" s="658" t="n"/>
      <c r="K37" s="658" t="n"/>
      <c r="L37" s="658" t="n"/>
      <c r="M37" s="658" t="n"/>
    </row>
    <row r="38" ht="15.75" customFormat="1" customHeight="1" s="770">
      <c r="A38" s="766" t="inlineStr">
        <is>
          <t>Dénomination de l'entreprise émettrice</t>
        </is>
      </c>
      <c r="B38" s="928" t="n"/>
      <c r="C38" s="929" t="n"/>
      <c r="D38" s="868" t="n"/>
      <c r="E38" s="894" t="n"/>
      <c r="F38" s="894" t="n"/>
      <c r="G38" s="894" t="n"/>
      <c r="H38" s="895" t="n"/>
      <c r="I38" s="766" t="n"/>
      <c r="J38" s="658" t="n"/>
      <c r="K38" s="658" t="n"/>
      <c r="L38" s="658" t="n"/>
      <c r="M38" s="658" t="n"/>
    </row>
    <row r="39" ht="45.75" customFormat="1" customHeight="1" s="770">
      <c r="A39" s="959" t="n"/>
      <c r="B39" s="886" t="n"/>
      <c r="C39" s="957" t="n"/>
      <c r="D39" s="868" t="n"/>
      <c r="E39" s="894" t="n"/>
      <c r="F39" s="895" t="n"/>
      <c r="G39" s="868" t="n"/>
      <c r="H39" s="766" t="n"/>
      <c r="I39" s="958" t="n"/>
    </row>
    <row r="40" ht="39" customFormat="1" customHeight="1" s="770">
      <c r="A40" s="959" t="n"/>
      <c r="B40" s="886" t="n"/>
      <c r="C40" s="957" t="n"/>
      <c r="D40" s="868" t="n"/>
      <c r="E40" s="868" t="n"/>
      <c r="F40" s="868" t="n"/>
      <c r="G40" s="868" t="n"/>
      <c r="H40" s="896" t="n"/>
      <c r="I40" s="958" t="n"/>
    </row>
    <row r="41" ht="57.75" customFormat="1" customHeight="1" s="770">
      <c r="A41" s="962" t="n"/>
      <c r="B41" s="956" t="n"/>
      <c r="C41" s="897" t="n"/>
      <c r="D41" s="145" t="n"/>
      <c r="E41" s="145" t="n"/>
      <c r="F41" s="145" t="n"/>
      <c r="G41" s="145" t="n"/>
      <c r="H41" s="112" t="n"/>
      <c r="I41" s="896" t="n"/>
    </row>
    <row r="42" ht="17.5" customHeight="1" s="885">
      <c r="A42" s="872" t="n"/>
      <c r="B42" s="1010" t="n"/>
      <c r="C42" s="1011" t="n"/>
      <c r="D42" s="523" t="n"/>
      <c r="E42" s="523" t="n"/>
      <c r="F42" s="523" t="n"/>
      <c r="G42" s="873" t="n"/>
      <c r="H42" s="873" t="n"/>
      <c r="I42" s="636" t="inlineStr">
        <is>
          <t>PA128</t>
        </is>
      </c>
    </row>
    <row r="43" ht="17.5" customHeight="1" s="885">
      <c r="A43" s="872" t="n"/>
      <c r="B43" s="1010" t="n"/>
      <c r="C43" s="1011" t="n"/>
      <c r="D43" s="523" t="n"/>
      <c r="E43" s="523" t="n"/>
      <c r="F43" s="523" t="n"/>
      <c r="G43" s="1020" t="n"/>
      <c r="H43" s="1020" t="n"/>
      <c r="I43" s="636" t="inlineStr">
        <is>
          <t>PA129</t>
        </is>
      </c>
    </row>
    <row r="44" ht="17.5" customHeight="1" s="885">
      <c r="A44" s="872" t="n"/>
      <c r="B44" s="1010" t="n"/>
      <c r="C44" s="1011" t="n"/>
      <c r="D44" s="523" t="n"/>
      <c r="E44" s="523" t="n"/>
      <c r="F44" s="523" t="n"/>
      <c r="G44" s="1020" t="n"/>
      <c r="H44" s="1020" t="n"/>
      <c r="I44" s="636" t="inlineStr">
        <is>
          <t>PA130</t>
        </is>
      </c>
    </row>
    <row r="45" ht="17.5" customHeight="1" s="885">
      <c r="A45" s="872" t="n"/>
      <c r="B45" s="1010" t="n"/>
      <c r="C45" s="1011" t="n"/>
      <c r="D45" s="523" t="n"/>
      <c r="E45" s="523" t="n"/>
      <c r="F45" s="523" t="n"/>
      <c r="G45" s="1020" t="n"/>
      <c r="H45" s="1020" t="n"/>
      <c r="I45" s="636" t="inlineStr">
        <is>
          <t>PA131</t>
        </is>
      </c>
    </row>
    <row r="46" ht="17.5" customHeight="1" s="885">
      <c r="A46" s="872" t="n"/>
      <c r="B46" s="1010" t="n"/>
      <c r="C46" s="1011" t="n"/>
      <c r="D46" s="523" t="n"/>
      <c r="E46" s="523" t="n"/>
      <c r="F46" s="523" t="n"/>
      <c r="G46" s="1020" t="n"/>
      <c r="H46" s="1020" t="n"/>
      <c r="I46" s="636" t="inlineStr">
        <is>
          <t>PA132</t>
        </is>
      </c>
    </row>
    <row r="47" ht="17.5" customHeight="1" s="885">
      <c r="A47" s="872" t="n"/>
      <c r="B47" s="1010" t="n"/>
      <c r="C47" s="1011" t="n"/>
      <c r="D47" s="523" t="n"/>
      <c r="E47" s="523" t="n"/>
      <c r="F47" s="523" t="n"/>
      <c r="G47" s="1020" t="n"/>
      <c r="H47" s="1020" t="n"/>
      <c r="I47" s="636" t="inlineStr">
        <is>
          <t>PA133</t>
        </is>
      </c>
    </row>
    <row r="48" ht="17.5" customHeight="1" s="885">
      <c r="A48" s="872" t="n"/>
      <c r="B48" s="1010" t="n"/>
      <c r="C48" s="1011" t="n"/>
      <c r="D48" s="523" t="n"/>
      <c r="E48" s="523" t="n"/>
      <c r="F48" s="523" t="n"/>
      <c r="G48" s="1020" t="n"/>
      <c r="H48" s="1020" t="n"/>
      <c r="I48" s="636" t="inlineStr">
        <is>
          <t>PA134</t>
        </is>
      </c>
    </row>
    <row r="49" ht="17.5" customHeight="1" s="885">
      <c r="A49" s="872" t="n"/>
      <c r="B49" s="1010" t="n"/>
      <c r="C49" s="1011" t="n"/>
      <c r="D49" s="523" t="n"/>
      <c r="E49" s="523" t="n"/>
      <c r="F49" s="523" t="n"/>
      <c r="G49" s="1020" t="n"/>
      <c r="H49" s="1020" t="n"/>
      <c r="I49" s="636" t="inlineStr">
        <is>
          <t>PA135</t>
        </is>
      </c>
    </row>
    <row r="50" ht="17.5" customHeight="1" s="885">
      <c r="A50" s="872" t="n"/>
      <c r="B50" s="1010" t="n"/>
      <c r="C50" s="1011" t="n"/>
      <c r="D50" s="523" t="n"/>
      <c r="E50" s="523" t="n"/>
      <c r="F50" s="523" t="n"/>
      <c r="G50" s="1020" t="n"/>
      <c r="H50" s="1020" t="n"/>
      <c r="I50" s="636" t="inlineStr">
        <is>
          <t>PA136</t>
        </is>
      </c>
    </row>
    <row r="51" ht="17.5" customHeight="1" s="885">
      <c r="A51" s="872" t="n"/>
      <c r="B51" s="1010" t="n"/>
      <c r="C51" s="1011" t="n"/>
      <c r="D51" s="523" t="n"/>
      <c r="E51" s="523" t="n"/>
      <c r="F51" s="523" t="n"/>
      <c r="G51" s="1020" t="n"/>
      <c r="H51" s="1020" t="n"/>
      <c r="I51" s="636" t="inlineStr">
        <is>
          <t>PA137</t>
        </is>
      </c>
    </row>
    <row r="52" ht="17.5" customHeight="1" s="885">
      <c r="A52" s="872" t="n"/>
      <c r="B52" s="1010" t="n"/>
      <c r="C52" s="1011" t="n"/>
      <c r="D52" s="523" t="n"/>
      <c r="E52" s="523" t="n"/>
      <c r="F52" s="523" t="n"/>
      <c r="G52" s="1020" t="n"/>
      <c r="H52" s="1020" t="n"/>
      <c r="I52" s="636" t="inlineStr">
        <is>
          <t>PA138</t>
        </is>
      </c>
    </row>
    <row r="53" ht="17.5" customHeight="1" s="885">
      <c r="A53" s="872" t="n"/>
      <c r="B53" s="1010" t="n"/>
      <c r="C53" s="1011" t="n"/>
      <c r="D53" s="523" t="n"/>
      <c r="E53" s="523" t="n"/>
      <c r="F53" s="523" t="n"/>
      <c r="G53" s="1020" t="n"/>
      <c r="H53" s="1020" t="n"/>
      <c r="I53" s="636" t="inlineStr">
        <is>
          <t>PA139</t>
        </is>
      </c>
    </row>
    <row r="54" ht="17.5" customHeight="1" s="885">
      <c r="A54" s="872" t="n"/>
      <c r="B54" s="1010" t="n"/>
      <c r="C54" s="1011" t="n"/>
      <c r="D54" s="523" t="n"/>
      <c r="E54" s="523" t="n"/>
      <c r="F54" s="523" t="n"/>
      <c r="G54" s="1020" t="n"/>
      <c r="H54" s="1020" t="n"/>
      <c r="I54" s="636" t="inlineStr">
        <is>
          <t>PA140</t>
        </is>
      </c>
    </row>
    <row r="55" ht="17.5" customHeight="1" s="885">
      <c r="A55" s="872" t="n"/>
      <c r="B55" s="1010" t="n"/>
      <c r="C55" s="1011" t="n"/>
      <c r="D55" s="523" t="n"/>
      <c r="E55" s="523" t="n"/>
      <c r="F55" s="523" t="n"/>
      <c r="G55" s="1020" t="n"/>
      <c r="H55" s="1020" t="n"/>
      <c r="I55" s="636" t="inlineStr">
        <is>
          <t>PA141</t>
        </is>
      </c>
    </row>
    <row r="56" ht="17.5" customHeight="1" s="885">
      <c r="A56" s="872" t="n"/>
      <c r="B56" s="1010" t="n"/>
      <c r="C56" s="1011" t="n"/>
      <c r="D56" s="523" t="n"/>
      <c r="E56" s="523" t="n"/>
      <c r="F56" s="523" t="n"/>
      <c r="G56" s="1020" t="n"/>
      <c r="H56" s="1020" t="n"/>
      <c r="I56" s="636" t="inlineStr">
        <is>
          <t>PA142</t>
        </is>
      </c>
    </row>
    <row r="57" ht="17.5" customHeight="1" s="885">
      <c r="A57" s="872" t="n"/>
      <c r="B57" s="1010" t="n"/>
      <c r="C57" s="1011" t="n"/>
      <c r="D57" s="523" t="n"/>
      <c r="E57" s="523" t="n"/>
      <c r="F57" s="523" t="n"/>
      <c r="G57" s="1020" t="n"/>
      <c r="H57" s="1020" t="n"/>
      <c r="I57" s="636" t="inlineStr">
        <is>
          <t>PA143</t>
        </is>
      </c>
    </row>
    <row r="58" ht="17.5" customHeight="1" s="885">
      <c r="A58" s="872" t="n"/>
      <c r="B58" s="1010" t="n"/>
      <c r="C58" s="1011" t="n"/>
      <c r="D58" s="523" t="n"/>
      <c r="E58" s="523" t="n"/>
      <c r="F58" s="523" t="n"/>
      <c r="G58" s="1020" t="n"/>
      <c r="H58" s="1020" t="n"/>
      <c r="I58" s="636" t="inlineStr">
        <is>
          <t>PA144</t>
        </is>
      </c>
    </row>
    <row r="59" ht="17.5" customHeight="1" s="885">
      <c r="A59" s="872" t="n"/>
      <c r="B59" s="1010" t="n"/>
      <c r="C59" s="1011" t="n"/>
      <c r="D59" s="523" t="n"/>
      <c r="E59" s="523" t="n"/>
      <c r="F59" s="523" t="n"/>
      <c r="G59" s="1020" t="n"/>
      <c r="H59" s="1020" t="n"/>
      <c r="I59" s="636" t="inlineStr">
        <is>
          <t>PA145</t>
        </is>
      </c>
    </row>
    <row r="60" ht="17.5" customHeight="1" s="885">
      <c r="A60" s="872" t="n"/>
      <c r="B60" s="1010" t="n"/>
      <c r="C60" s="1011" t="n"/>
      <c r="D60" s="523" t="n"/>
      <c r="E60" s="523" t="n"/>
      <c r="F60" s="523" t="n"/>
      <c r="G60" s="1020" t="n"/>
      <c r="H60" s="1020" t="n"/>
      <c r="I60" s="636" t="inlineStr">
        <is>
          <t>PA146</t>
        </is>
      </c>
    </row>
    <row r="61" ht="17.5" customHeight="1" s="885">
      <c r="A61" s="872" t="n"/>
      <c r="B61" s="1010" t="n"/>
      <c r="C61" s="1011" t="n"/>
      <c r="D61" s="523" t="n"/>
      <c r="E61" s="523" t="n"/>
      <c r="F61" s="523" t="n"/>
      <c r="G61" s="1021" t="n"/>
      <c r="H61" s="1020" t="n"/>
      <c r="I61" s="636" t="inlineStr">
        <is>
          <t>PA147</t>
        </is>
      </c>
    </row>
    <row r="62" ht="18" customHeight="1" s="885">
      <c r="A62" s="659" t="n"/>
      <c r="B62" s="660" t="n"/>
      <c r="C62" s="660" t="n"/>
      <c r="D62" s="660" t="n"/>
      <c r="E62" s="661" t="n"/>
      <c r="F62" s="523" t="n"/>
      <c r="G62" s="523" t="n"/>
      <c r="H62" s="1021" t="n"/>
      <c r="I62" s="636" t="inlineStr">
        <is>
          <t>PA148</t>
        </is>
      </c>
    </row>
    <row r="63" ht="18" customHeight="1" s="885">
      <c r="A63" s="870" t="n"/>
      <c r="B63" s="1010" t="n"/>
      <c r="C63" s="1010" t="n"/>
      <c r="D63" s="1010" t="n"/>
      <c r="E63" s="1010" t="n"/>
      <c r="F63" s="1010" t="n"/>
      <c r="G63" s="1011" t="n"/>
      <c r="H63" s="523" t="n"/>
      <c r="I63" s="636" t="inlineStr">
        <is>
          <t>PA149</t>
        </is>
      </c>
    </row>
    <row r="64" ht="17.5" customHeight="1" s="885">
      <c r="A64" s="103" t="n"/>
      <c r="B64" s="103" t="n"/>
      <c r="C64" s="103" t="n"/>
      <c r="D64" s="103" t="n"/>
      <c r="E64" s="103" t="n"/>
      <c r="F64" s="103" t="n"/>
      <c r="G64" s="103" t="n"/>
      <c r="H64" s="103" t="n"/>
    </row>
    <row r="65" ht="18" customFormat="1" customHeight="1" s="663">
      <c r="A65" s="736" t="inlineStr">
        <is>
          <t>Poste mémoire - Fonds propres effectifs</t>
        </is>
      </c>
      <c r="B65" s="886" t="n"/>
      <c r="C65" s="886" t="n"/>
      <c r="D65" s="886" t="n"/>
      <c r="E65" s="886" t="n"/>
      <c r="F65" s="662" t="n"/>
      <c r="G65" s="662" t="n"/>
      <c r="H65" s="662" t="n"/>
    </row>
    <row r="66" ht="17.5" customFormat="1" customHeight="1" s="663">
      <c r="A66" s="782" t="n"/>
      <c r="B66" s="886" t="n"/>
      <c r="C66" s="886" t="n"/>
      <c r="D66" s="886" t="n"/>
      <c r="E66" s="886" t="n"/>
      <c r="F66" s="662" t="n"/>
      <c r="G66" s="662" t="n"/>
      <c r="H66" s="662" t="n"/>
    </row>
    <row r="67" ht="30" customFormat="1" customHeight="1" s="663">
      <c r="A67" s="871" t="inlineStr">
        <is>
          <t>Code DISPRU</t>
        </is>
      </c>
      <c r="B67" s="895" t="n"/>
      <c r="C67" s="664" t="n"/>
      <c r="D67" s="664" t="n"/>
      <c r="E67" s="782" t="n"/>
      <c r="F67" s="662" t="n"/>
      <c r="G67" s="662" t="n"/>
      <c r="H67" s="662" t="n"/>
    </row>
    <row r="68" ht="30" customFormat="1" customHeight="1" s="663">
      <c r="A68" s="869" t="inlineStr">
        <is>
          <t>FPI41 / FPC41</t>
        </is>
      </c>
      <c r="B68" s="895" t="n"/>
      <c r="C68" s="665" t="n"/>
      <c r="D68" s="523" t="n"/>
      <c r="E68" s="782" t="n"/>
      <c r="F68" s="662" t="n"/>
      <c r="G68" s="662" t="n"/>
      <c r="H68" s="662" t="n"/>
    </row>
    <row r="69" ht="30" customFormat="1" customHeight="1" s="663">
      <c r="A69" s="869" t="inlineStr">
        <is>
          <t>FPI29 / FPC29</t>
        </is>
      </c>
      <c r="B69" s="895" t="n"/>
      <c r="C69" s="665" t="n"/>
      <c r="D69" s="523" t="n"/>
      <c r="E69" s="782" t="n"/>
      <c r="F69" s="662" t="n"/>
      <c r="G69" s="662" t="n"/>
      <c r="H69" s="662" t="n"/>
    </row>
    <row r="70" ht="15" customFormat="1" customHeight="1" s="663">
      <c r="A70" s="770" t="n"/>
      <c r="B70" s="770" t="n"/>
      <c r="C70" s="666" t="n"/>
      <c r="D70" s="667" t="n"/>
      <c r="E70" s="770" t="n"/>
    </row>
    <row r="71" ht="17.5" customHeight="1" s="885">
      <c r="A71" s="877" t="inlineStr">
        <is>
          <t>***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4Iti2Ni91yYskiHa5nJdQ==" formatRows="1" sort="1" spinCount="100000" hashValue="TNlpsCzIkYPhr6b9LTbxOoy3dS0Am2Mh5VyWQJdSINWz5LtyCPdu63RKRSrc55GWxd4KP+DUtUEUfM6EmUm3TQ=="/>
  <mergeCells count="63">
    <mergeCell ref="B16:C16"/>
    <mergeCell ref="B25:C25"/>
    <mergeCell ref="A46:C46"/>
    <mergeCell ref="I12:I31"/>
    <mergeCell ref="B22:C22"/>
    <mergeCell ref="A56:C56"/>
    <mergeCell ref="D8:D10"/>
    <mergeCell ref="A38:C41"/>
    <mergeCell ref="B31:C31"/>
    <mergeCell ref="A55:C55"/>
    <mergeCell ref="A50:C50"/>
    <mergeCell ref="B27:C27"/>
    <mergeCell ref="A1:H1"/>
    <mergeCell ref="A63:G63"/>
    <mergeCell ref="B18:C18"/>
    <mergeCell ref="H42:H62"/>
    <mergeCell ref="A57:C57"/>
    <mergeCell ref="A69:B69"/>
    <mergeCell ref="B12:C12"/>
    <mergeCell ref="A42:C42"/>
    <mergeCell ref="B21:C21"/>
    <mergeCell ref="E9:E10"/>
    <mergeCell ref="H39:H40"/>
    <mergeCell ref="A65:E65"/>
    <mergeCell ref="A47:C47"/>
    <mergeCell ref="B23:C23"/>
    <mergeCell ref="B14:C14"/>
    <mergeCell ref="A53:C53"/>
    <mergeCell ref="B17:C17"/>
    <mergeCell ref="D39:F39"/>
    <mergeCell ref="A66:E66"/>
    <mergeCell ref="A43:C43"/>
    <mergeCell ref="A52:C52"/>
    <mergeCell ref="B13:C13"/>
    <mergeCell ref="B29:C29"/>
    <mergeCell ref="E8:H8"/>
    <mergeCell ref="I8:I9"/>
    <mergeCell ref="A8:A11"/>
    <mergeCell ref="F9:F10"/>
    <mergeCell ref="B19:C19"/>
    <mergeCell ref="A44:C44"/>
    <mergeCell ref="A58:C58"/>
    <mergeCell ref="B28:C28"/>
    <mergeCell ref="I38:I41"/>
    <mergeCell ref="A59:C59"/>
    <mergeCell ref="A48:C48"/>
    <mergeCell ref="A51:C51"/>
    <mergeCell ref="G42:G61"/>
    <mergeCell ref="B24:C24"/>
    <mergeCell ref="B30:C30"/>
    <mergeCell ref="A49:C49"/>
    <mergeCell ref="B15:C15"/>
    <mergeCell ref="A60:C60"/>
    <mergeCell ref="A45:C45"/>
    <mergeCell ref="A68:B68"/>
    <mergeCell ref="B20:C20"/>
    <mergeCell ref="A61:C61"/>
    <mergeCell ref="B32:C32"/>
    <mergeCell ref="D38:H38"/>
    <mergeCell ref="B26:C26"/>
    <mergeCell ref="A67:B67"/>
    <mergeCell ref="B8:C11"/>
    <mergeCell ref="A54:C54"/>
  </mergeCells>
  <pageMargins left="0.708333333333333" right="0.708333333333333" top="0.747916666666667" bottom="0.747916666666667" header="0.511811023622047" footer="0.315277777777778"/>
  <pageSetup orientation="portrait" paperSize="9" scale="48" horizontalDpi="300" verticalDpi="300"/>
  <headerFooter>
    <oddHeader/>
    <oddFooter>&amp;R&amp;P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MK26"/>
  <sheetViews>
    <sheetView view="pageBreakPreview" topLeftCell="A8" zoomScale="80" zoomScaleNormal="70" zoomScaleSheetLayoutView="80" workbookViewId="0">
      <selection activeCell="E18" sqref="E18"/>
    </sheetView>
  </sheetViews>
  <sheetFormatPr baseColWidth="10" defaultColWidth="10" defaultRowHeight="17.25" customHeight="1"/>
  <cols>
    <col collapsed="1" width="17.7265625" customWidth="1" style="877" min="1" max="1"/>
    <col collapsed="1" width="96.08984375" customWidth="1" style="877" min="2" max="2"/>
    <col collapsed="1" width="17.36328125" customWidth="1" style="877" min="3" max="4"/>
    <col collapsed="1" width="17.08984375" customWidth="1" style="877" min="5" max="5"/>
    <col collapsed="1" width="20.54296875" customWidth="1" style="877" min="6" max="6"/>
    <col collapsed="1" width="10" customWidth="1" style="877" min="7" max="16384"/>
  </cols>
  <sheetData>
    <row r="1" ht="29.25" customFormat="1" customHeight="1" s="770">
      <c r="A1" s="767" t="inlineStr">
        <is>
          <t xml:space="preserve">IMMOBILISATIONS HORS EXPLOITATION </t>
        </is>
      </c>
      <c r="B1" s="886" t="n"/>
      <c r="C1" s="886" t="n"/>
      <c r="D1" s="886" t="n"/>
      <c r="E1" s="886" t="n"/>
      <c r="F1" s="964" t="inlineStr">
        <is>
          <t>EP36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Height="1" s="885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Height="1" s="885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Height="1" s="885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Format="1" customHeight="1" s="770">
      <c r="A7" s="315" t="n"/>
      <c r="B7" s="965" t="n"/>
      <c r="D7" s="965" t="n"/>
      <c r="E7" s="965" t="n"/>
    </row>
    <row r="8" ht="48.75" customFormat="1" customHeight="1" s="649">
      <c r="A8" s="766" t="inlineStr">
        <is>
          <t>Code DISPRU</t>
        </is>
      </c>
      <c r="B8" s="868" t="inlineStr">
        <is>
          <t>Poste</t>
        </is>
      </c>
      <c r="C8" s="868" t="inlineStr">
        <is>
          <t>Montant des immobilisations hors exploitation et participations dans  les sociétés immobilières</t>
        </is>
      </c>
      <c r="D8" s="894" t="n"/>
      <c r="E8" s="894" t="n"/>
      <c r="F8" s="895" t="n"/>
    </row>
    <row r="9" ht="54" customFormat="1" customHeight="1" s="649">
      <c r="A9" s="958" t="n"/>
      <c r="B9" s="958" t="n"/>
      <c r="C9" s="868" t="inlineStr">
        <is>
          <t>brut *</t>
        </is>
      </c>
      <c r="D9" s="868" t="inlineStr">
        <is>
          <t>net **</t>
        </is>
      </c>
      <c r="E9" s="668" t="inlineStr">
        <is>
          <t>Pourcentage des FPB T1 ***</t>
        </is>
      </c>
      <c r="F9" s="668" t="inlineStr">
        <is>
          <t>Excédant à la limite</t>
        </is>
      </c>
    </row>
    <row r="10" ht="52.5" customFormat="1" customHeight="1" s="649">
      <c r="A10" s="896" t="n"/>
      <c r="B10" s="896" t="n"/>
      <c r="C10" s="145" t="inlineStr">
        <is>
          <t>(a)</t>
        </is>
      </c>
      <c r="D10" s="145" t="inlineStr">
        <is>
          <t>(b)</t>
        </is>
      </c>
      <c r="E10" s="145" t="inlineStr">
        <is>
          <t>c= Total de b/FPB T1</t>
        </is>
      </c>
      <c r="F10" s="145" t="inlineStr">
        <is>
          <t>d=Max[0; (Total de b-(15%*FPB T1))]</t>
        </is>
      </c>
    </row>
    <row r="11" ht="39" customHeight="1" s="885">
      <c r="A11" s="869" t="inlineStr">
        <is>
          <t>IM001</t>
        </is>
      </c>
      <c r="B11" s="669" t="inlineStr">
        <is>
          <t>Immobilisations hors exploitation avant ajustement</t>
        </is>
      </c>
      <c r="C11" s="390" t="n"/>
      <c r="D11" s="390" t="n"/>
      <c r="E11" s="876" t="n">
        <v>0</v>
      </c>
      <c r="F11" s="876" t="n">
        <v>0</v>
      </c>
    </row>
    <row r="12" ht="39" customHeight="1" s="885">
      <c r="A12" s="869" t="inlineStr">
        <is>
          <t>IM002</t>
        </is>
      </c>
      <c r="B12" s="669" t="inlineStr">
        <is>
          <t>(-) Immobilisations acquises par réalisation de garantie depuis moins de 2 ans</t>
        </is>
      </c>
      <c r="C12" s="390" t="n"/>
      <c r="D12" s="390" t="n"/>
      <c r="E12" s="1020" t="n"/>
      <c r="F12" s="1020" t="n"/>
    </row>
    <row r="13" ht="39" customHeight="1" s="885">
      <c r="A13" s="869" t="inlineStr">
        <is>
          <t>IM003</t>
        </is>
      </c>
      <c r="B13" s="670" t="inlineStr">
        <is>
          <t>(-) Immobilisations acquises par réalisation de garantie depuis plus de 2 ans, mais bénéficiant d'une dérogation de la Commission Bancaire</t>
        </is>
      </c>
      <c r="C13" s="390" t="n"/>
      <c r="D13" s="390" t="n">
        <v>0</v>
      </c>
      <c r="E13" s="1020" t="n"/>
      <c r="F13" s="1020" t="n"/>
    </row>
    <row r="14" ht="39" customFormat="1" customHeight="1" s="672">
      <c r="A14" s="869" t="inlineStr">
        <is>
          <t>IM004</t>
        </is>
      </c>
      <c r="B14" s="671" t="inlineStr">
        <is>
          <t>Immobilisations hors exploitation après ajustement</t>
        </is>
      </c>
      <c r="C14" s="390" t="n"/>
      <c r="D14" s="390" t="n"/>
      <c r="E14" s="1020" t="n"/>
      <c r="F14" s="1020" t="n"/>
    </row>
    <row r="15" ht="39" customHeight="1" s="885">
      <c r="A15" s="673" t="inlineStr">
        <is>
          <t>PA084</t>
        </is>
      </c>
      <c r="B15" s="669" t="inlineStr">
        <is>
          <t xml:space="preserve">Participations dans les sociétés immobilières </t>
        </is>
      </c>
      <c r="C15" s="390" t="n"/>
      <c r="D15" s="390" t="n"/>
      <c r="E15" s="1020" t="n"/>
      <c r="F15" s="1020" t="n"/>
    </row>
    <row r="16" ht="39" customFormat="1" customHeight="1" s="676">
      <c r="A16" s="869" t="inlineStr">
        <is>
          <t>IM005</t>
        </is>
      </c>
      <c r="B16" s="674" t="inlineStr">
        <is>
          <t>Total des immobilisations hors exploitation et participations dans les sociétés immobilières</t>
        </is>
      </c>
      <c r="C16" s="390">
        <f>C14+C15</f>
        <v/>
      </c>
      <c r="D16" s="675" t="n">
        <v>0</v>
      </c>
      <c r="E16" s="1021" t="n"/>
      <c r="F16" s="1021" t="n"/>
    </row>
    <row r="17" ht="39" customFormat="1" customHeight="1" s="770">
      <c r="A17" s="869" t="inlineStr">
        <is>
          <t>IM006</t>
        </is>
      </c>
      <c r="B17" s="677" t="n"/>
      <c r="C17" s="677" t="n"/>
      <c r="D17" s="390">
        <f>D14+D15</f>
        <v/>
      </c>
      <c r="E17" s="390">
        <f>D17/C22</f>
        <v/>
      </c>
      <c r="F17" s="390" t="n">
        <v>0</v>
      </c>
    </row>
    <row r="18" ht="17.5" customFormat="1" customHeight="1" s="770"/>
    <row r="19" ht="18" customFormat="1" customHeight="1" s="770">
      <c r="A19" s="874" t="inlineStr">
        <is>
          <t>Poste mémoire - Fonds propres de base T1</t>
        </is>
      </c>
      <c r="B19" s="886" t="n"/>
      <c r="C19" s="886" t="n"/>
      <c r="D19" s="886" t="n"/>
    </row>
    <row r="20" ht="17.5" customFormat="1" customHeight="1" s="770">
      <c r="A20" s="875" t="n"/>
      <c r="B20" s="956" t="n"/>
      <c r="C20" s="956" t="n"/>
      <c r="D20" s="956" t="n"/>
    </row>
    <row r="21" ht="36" customFormat="1" customHeight="1" s="770">
      <c r="A21" s="679" t="inlineStr">
        <is>
          <t>Code DISPRU</t>
        </is>
      </c>
      <c r="B21" s="680" t="inlineStr">
        <is>
          <t>Poste</t>
        </is>
      </c>
      <c r="C21" s="389" t="inlineStr">
        <is>
          <t>Montant</t>
        </is>
      </c>
    </row>
    <row r="22" ht="27" customFormat="1" customHeight="1" s="770">
      <c r="A22" s="681" t="inlineStr">
        <is>
          <t>FPI29 / FPC29</t>
        </is>
      </c>
      <c r="B22" s="682" t="inlineStr">
        <is>
          <t>Fonds propres de base T1***</t>
        </is>
      </c>
      <c r="C22" s="390" t="n"/>
    </row>
    <row r="23" ht="17.5" customFormat="1" customHeight="1" s="770"/>
    <row r="24" ht="17.5" customFormat="1" customHeight="1" s="770">
      <c r="A24" s="653" t="inlineStr">
        <is>
          <t>* Immobilisations hors exploitation (montant incluant les amortissements); Participations dans les sociétés immobilières (montant des souscriptions)</t>
        </is>
      </c>
    </row>
    <row r="25" ht="17.5" customFormat="1" customHeight="1" s="770">
      <c r="A25" s="651" t="inlineStr">
        <is>
          <t xml:space="preserve">** Immobilisations hors exploitation (montant net des amortissements); Participations dans les sociétés immobilières (montant libérés, nets des provisions) </t>
        </is>
      </c>
    </row>
    <row r="26" ht="17.5" customHeight="1" s="885">
      <c r="A26" s="877" t="inlineStr">
        <is>
          <t>***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D4osI4bHJ4e9uC4D9HjHg==" formatRows="1" sort="1" spinCount="100000" hashValue="NB4sA8OmNxCxWfyexDWnGclBf5Lsx1Vmg5+JEkH+ai3t4vGSnePiBxU09saRt108cR23OW5SbxFbqCPpou1cmg=="/>
  <mergeCells count="8">
    <mergeCell ref="A8:A10"/>
    <mergeCell ref="C8:F8"/>
    <mergeCell ref="A20:D20"/>
    <mergeCell ref="F11:F16"/>
    <mergeCell ref="A1:E1"/>
    <mergeCell ref="E11:E16"/>
    <mergeCell ref="B8:B10"/>
    <mergeCell ref="A19:D19"/>
  </mergeCells>
  <conditionalFormatting sqref="C17">
    <cfRule type="cellIs" priority="3" operator="greaterThan" dxfId="0">
      <formula>15</formula>
    </cfRule>
  </conditionalFormatting>
  <conditionalFormatting sqref="D16">
    <cfRule type="cellIs" priority="2" operator="greaterThan" dxfId="0">
      <formula>15</formula>
    </cfRule>
  </conditionalFormatting>
  <pageMargins left="0.708333333333333" right="0.708333333333333" top="0.747916666666667" bottom="0.747916666666667" header="0.511811023622047" footer="0.315277777777778"/>
  <pageSetup orientation="portrait" paperSize="9" scale="41" horizontalDpi="300" verticalDpi="300"/>
  <headerFooter>
    <oddHeader/>
    <oddFooter>&amp;R&amp;P</oddFooter>
    <evenHeader/>
    <evenFooter/>
    <firstHeader/>
    <firstFooter/>
  </headerFooter>
  <colBreaks count="2" manualBreakCount="2">
    <brk id="6" min="0" max="1048575" man="1"/>
    <brk id="26" min="0" max="1048575" man="1"/>
  </colBreak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MK25"/>
  <sheetViews>
    <sheetView view="pageBreakPreview" zoomScale="80" zoomScaleNormal="70" zoomScaleSheetLayoutView="80" workbookViewId="0">
      <selection activeCell="E16" sqref="E16"/>
    </sheetView>
  </sheetViews>
  <sheetFormatPr baseColWidth="10" defaultColWidth="10" defaultRowHeight="39.75" customHeight="1"/>
  <cols>
    <col collapsed="1" width="17.54296875" customWidth="1" style="877" min="1" max="1"/>
    <col collapsed="1" width="66.81640625" customWidth="1" style="877" min="2" max="2"/>
    <col collapsed="1" width="19.1796875" customWidth="1" style="877" min="3" max="5"/>
    <col collapsed="1" width="21.36328125" customWidth="1" style="877" min="6" max="6"/>
    <col collapsed="1" width="10" customWidth="1" style="877" min="7" max="16384"/>
  </cols>
  <sheetData>
    <row r="1" ht="39.75" customFormat="1" customHeight="1" s="770">
      <c r="A1" s="767" t="inlineStr">
        <is>
          <t xml:space="preserve">IMMOBILISATIONS ET PARTICIPATIONS </t>
        </is>
      </c>
      <c r="B1" s="886" t="n"/>
      <c r="C1" s="886" t="n"/>
      <c r="D1" s="886" t="n"/>
      <c r="E1" s="886" t="n"/>
      <c r="F1" s="964" t="inlineStr">
        <is>
          <t>EP37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Height="1" s="885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Height="1" s="885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Height="1" s="885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39.75" customFormat="1" customHeight="1" s="770">
      <c r="A7" s="315" t="n"/>
      <c r="B7" s="965" t="n"/>
      <c r="D7" s="965" t="n"/>
    </row>
    <row r="8" ht="39.75" customFormat="1" customHeight="1" s="649">
      <c r="A8" s="878" t="inlineStr">
        <is>
          <t>Code DISPRU</t>
        </is>
      </c>
      <c r="B8" s="868" t="inlineStr">
        <is>
          <t>Poste</t>
        </is>
      </c>
      <c r="C8" s="868" t="inlineStr">
        <is>
          <t>Montant des immobilisations et des participations</t>
        </is>
      </c>
      <c r="D8" s="894" t="n"/>
      <c r="E8" s="894" t="n"/>
      <c r="F8" s="895" t="n"/>
    </row>
    <row r="9" ht="39.75" customFormat="1" customHeight="1" s="649">
      <c r="A9" s="958" t="n"/>
      <c r="B9" s="958" t="n"/>
      <c r="C9" s="868" t="inlineStr">
        <is>
          <t>brut *</t>
        </is>
      </c>
      <c r="D9" s="868" t="inlineStr">
        <is>
          <t>net **</t>
        </is>
      </c>
      <c r="E9" s="683" t="inlineStr">
        <is>
          <t>pourcentage des FPE ***</t>
        </is>
      </c>
      <c r="F9" s="683" t="inlineStr">
        <is>
          <t>Excédant à la limite</t>
        </is>
      </c>
    </row>
    <row r="10" ht="52.5" customFormat="1" customHeight="1" s="649">
      <c r="A10" s="896" t="n"/>
      <c r="B10" s="896" t="n"/>
      <c r="C10" s="145" t="inlineStr">
        <is>
          <t>(a)</t>
        </is>
      </c>
      <c r="D10" s="145" t="inlineStr">
        <is>
          <t>(b)</t>
        </is>
      </c>
      <c r="E10" s="145" t="inlineStr">
        <is>
          <t>c= Total de b/FPE</t>
        </is>
      </c>
      <c r="F10" s="145" t="inlineStr">
        <is>
          <t>d= Max[0; (Total de b-(100%*FPE))]</t>
        </is>
      </c>
    </row>
    <row r="11" ht="39.75" customHeight="1" s="885">
      <c r="A11" s="869" t="inlineStr">
        <is>
          <t>IM007</t>
        </is>
      </c>
      <c r="B11" s="669" t="inlineStr">
        <is>
          <t>Immobilisations d'exploitation ajustées</t>
        </is>
      </c>
      <c r="C11" s="693">
        <f>C13-C12</f>
        <v/>
      </c>
      <c r="D11" s="390">
        <f>D13-D12</f>
        <v/>
      </c>
      <c r="E11" s="876" t="n">
        <v>0</v>
      </c>
      <c r="F11" s="876" t="n">
        <v>0</v>
      </c>
    </row>
    <row r="12" ht="39.75" customHeight="1" s="885">
      <c r="A12" s="869" t="inlineStr">
        <is>
          <t>IM004</t>
        </is>
      </c>
      <c r="B12" s="671" t="inlineStr">
        <is>
          <t>Immobilisations hors exploitation après ajustement</t>
        </is>
      </c>
      <c r="C12" s="390" t="n"/>
      <c r="D12" s="390" t="n"/>
      <c r="E12" s="1020" t="n"/>
      <c r="F12" s="1020" t="n"/>
    </row>
    <row r="13" ht="39.75" customHeight="1" s="885">
      <c r="A13" s="869" t="inlineStr">
        <is>
          <t>IM008</t>
        </is>
      </c>
      <c r="B13" s="670" t="inlineStr">
        <is>
          <t>Total des immobilisations</t>
        </is>
      </c>
      <c r="C13" s="693" t="n"/>
      <c r="D13" s="390" t="n"/>
      <c r="E13" s="1020" t="n"/>
      <c r="F13" s="1020" t="n"/>
    </row>
    <row r="14" ht="39.75" customFormat="1" customHeight="1" s="672">
      <c r="A14" s="673" t="inlineStr">
        <is>
          <t>PA106</t>
        </is>
      </c>
      <c r="B14" s="671" t="inlineStr">
        <is>
          <t>Total des participations</t>
        </is>
      </c>
      <c r="C14" s="390" t="n"/>
      <c r="D14" s="390" t="n"/>
      <c r="E14" s="1020" t="n"/>
      <c r="F14" s="1020" t="n"/>
    </row>
    <row r="15" ht="39.75" customHeight="1" s="885">
      <c r="A15" s="869" t="inlineStr">
        <is>
          <t>IM009</t>
        </is>
      </c>
      <c r="B15" s="671" t="inlineStr">
        <is>
          <t>Total des immobilisations et des participations</t>
        </is>
      </c>
      <c r="C15" s="390">
        <f>C13+C14</f>
        <v/>
      </c>
      <c r="D15" s="675" t="n">
        <v>0</v>
      </c>
      <c r="E15" s="1021" t="n"/>
      <c r="F15" s="1021" t="n"/>
    </row>
    <row r="16" ht="39.75" customFormat="1" customHeight="1" s="770">
      <c r="A16" s="869" t="inlineStr">
        <is>
          <t>IM010</t>
        </is>
      </c>
      <c r="B16" s="677" t="n"/>
      <c r="C16" s="677" t="n"/>
      <c r="D16" s="390">
        <f>D13+D14</f>
        <v/>
      </c>
      <c r="E16" s="390">
        <f>D16/C21</f>
        <v/>
      </c>
      <c r="F16" s="390" t="n">
        <v>0</v>
      </c>
    </row>
    <row r="17" ht="24" customHeight="1" s="885">
      <c r="A17" s="877" t="n"/>
      <c r="B17" s="713" t="n"/>
      <c r="C17" s="713" t="n"/>
      <c r="D17" s="713" t="n"/>
    </row>
    <row r="18" ht="39.75" customFormat="1" customHeight="1" s="770">
      <c r="A18" s="874" t="inlineStr">
        <is>
          <t>Poste mémoire - Fonds propres effectifs</t>
        </is>
      </c>
      <c r="B18" s="886" t="n"/>
      <c r="C18" s="886" t="n"/>
      <c r="D18" s="886" t="n"/>
    </row>
    <row r="19" ht="17.25" customFormat="1" customHeight="1" s="770">
      <c r="A19" s="875" t="n"/>
      <c r="B19" s="956" t="n"/>
      <c r="C19" s="956" t="n"/>
      <c r="D19" s="956" t="n"/>
    </row>
    <row r="20" ht="39.75" customFormat="1" customHeight="1" s="770">
      <c r="A20" s="679" t="inlineStr">
        <is>
          <t>Code DISPRU</t>
        </is>
      </c>
      <c r="B20" s="680" t="inlineStr">
        <is>
          <t>Poste</t>
        </is>
      </c>
      <c r="C20" s="389" t="inlineStr">
        <is>
          <t>Montant</t>
        </is>
      </c>
    </row>
    <row r="21" ht="39.75" customFormat="1" customHeight="1" s="770">
      <c r="A21" s="681" t="inlineStr">
        <is>
          <t>FPI41 / FPC41</t>
        </is>
      </c>
      <c r="B21" s="682" t="inlineStr">
        <is>
          <t>Fonds propres effectifs***</t>
        </is>
      </c>
      <c r="C21" s="390" t="n"/>
    </row>
    <row r="22" ht="29.25" customFormat="1" customHeight="1" s="770"/>
    <row r="23" ht="26.25" customFormat="1" customHeight="1" s="770">
      <c r="A23" s="653" t="inlineStr">
        <is>
          <t>* Immobilisations hors exploitation (montant incluant les amortissements); Participations dans les sociétés immobilières (montant des souscriptions)</t>
        </is>
      </c>
    </row>
    <row r="24" ht="26.25" customFormat="1" customHeight="1" s="770">
      <c r="A24" s="651" t="inlineStr">
        <is>
          <t xml:space="preserve">** Immobilisations hors exploitation (montant net des amortissements); Participations dans les sociétés immobilières (montant libérés, nets des provisions) </t>
        </is>
      </c>
    </row>
    <row r="25" ht="39.75" customHeight="1" s="885">
      <c r="A25" s="877" t="inlineStr">
        <is>
          <t>***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MH8XrDretfgmsEwOE6ywA==" formatRows="1" sort="1" spinCount="100000" hashValue="WKFRrbflh1bPLERzB6qwG8/5PKORvTU19Zc4R8yixC7ccGcYlRSplsT9RXspwqgyrsY5CPlDqMGGDgxQ4jwsHw=="/>
  <mergeCells count="9">
    <mergeCell ref="A17:D17"/>
    <mergeCell ref="A18:D18"/>
    <mergeCell ref="A8:A10"/>
    <mergeCell ref="C8:F8"/>
    <mergeCell ref="F11:F15"/>
    <mergeCell ref="E11:E15"/>
    <mergeCell ref="A1:E1"/>
    <mergeCell ref="B8:B10"/>
    <mergeCell ref="A19:D19"/>
  </mergeCells>
  <conditionalFormatting sqref="C16">
    <cfRule type="cellIs" priority="3" operator="greaterThan" dxfId="0">
      <formula>15</formula>
    </cfRule>
  </conditionalFormatting>
  <conditionalFormatting sqref="D15">
    <cfRule type="cellIs" priority="2" operator="greaterThan" dxfId="0">
      <formula>15</formula>
    </cfRule>
  </conditionalFormatting>
  <pageMargins left="0.708333333333333" right="0.708333333333333" top="0.747916666666667" bottom="0.747916666666667" header="0.511811023622047" footer="0.315277777777778"/>
  <pageSetup orientation="portrait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MK21"/>
  <sheetViews>
    <sheetView view="pageBreakPreview" topLeftCell="A5" zoomScale="80" zoomScaleNormal="70" zoomScaleSheetLayoutView="80" workbookViewId="0">
      <selection activeCell="L15" sqref="L15"/>
    </sheetView>
  </sheetViews>
  <sheetFormatPr baseColWidth="10" defaultColWidth="10" defaultRowHeight="17.25" customHeight="1"/>
  <cols>
    <col collapsed="1" width="17.54296875" customWidth="1" style="770" min="1" max="1"/>
    <col collapsed="1" width="62.453125" customWidth="1" style="770" min="2" max="2"/>
    <col collapsed="1" width="16" customWidth="1" style="770" min="3" max="3"/>
    <col collapsed="1" width="14.54296875" customWidth="1" style="770" min="4" max="5"/>
    <col collapsed="1" width="18.26953125" customWidth="1" style="770" min="6" max="6"/>
    <col collapsed="1" width="14.54296875" customWidth="1" style="770" min="7" max="10"/>
    <col collapsed="1" width="11.453125" customWidth="1" style="770" min="11" max="11"/>
    <col collapsed="1" width="16" customWidth="1" style="770" min="12" max="12"/>
    <col collapsed="1" width="13.7265625" customWidth="1" style="770" min="13" max="13"/>
    <col collapsed="1" width="10" customWidth="1" style="770" min="14" max="16384"/>
  </cols>
  <sheetData>
    <row r="1" ht="29.25" customHeight="1" s="885">
      <c r="A1" s="735" t="inlineStr">
        <is>
          <t>PRÊTS AUX PRINCIPAUX ACTIONNAIRES, AUX DIRIGEANTS, AU PERSONNEL, AUX COMMISSAIRES AUX COMPTES ET AUX AUTRES PARTIES LIEES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964" t="inlineStr">
        <is>
          <t>EP38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A7" s="315" t="n"/>
      <c r="B7" s="965" t="n"/>
      <c r="D7" s="965" t="n"/>
      <c r="E7" s="965" t="n"/>
    </row>
    <row r="8" ht="18" customFormat="1" customHeight="1" s="658">
      <c r="A8" s="721" t="inlineStr">
        <is>
          <t>Code DISPRU</t>
        </is>
      </c>
      <c r="B8" s="880" t="inlineStr">
        <is>
          <t>Poste</t>
        </is>
      </c>
      <c r="C8" s="721" t="inlineStr">
        <is>
          <t xml:space="preserve">BENEFICIAIRES </t>
        </is>
      </c>
      <c r="D8" s="894" t="n"/>
      <c r="E8" s="894" t="n"/>
      <c r="F8" s="894" t="n"/>
      <c r="G8" s="894" t="n"/>
      <c r="H8" s="894" t="n"/>
      <c r="I8" s="894" t="n"/>
      <c r="J8" s="895" t="n"/>
      <c r="K8" s="721" t="inlineStr">
        <is>
          <t>CONCOURS ET ENGAGEMENTS</t>
        </is>
      </c>
      <c r="L8" s="894" t="n"/>
      <c r="M8" s="895" t="n"/>
    </row>
    <row r="9" ht="132" customFormat="1" customHeight="1" s="658">
      <c r="A9" s="958" t="n"/>
      <c r="B9" s="959" t="n"/>
      <c r="C9" s="766" t="inlineStr">
        <is>
          <t>Actionnaires détenant individuellement au moins 10% des droits de vote</t>
        </is>
      </c>
      <c r="D9" s="766" t="inlineStr">
        <is>
          <t>Membres de l'organe délibérant (n.c. dans la colonne 1)</t>
        </is>
      </c>
      <c r="E9" s="766" t="inlineStr">
        <is>
          <t>Membres de l'organe exécutif (n.c. dans la colonne 1)</t>
        </is>
      </c>
      <c r="F9" s="766" t="inlineStr">
        <is>
          <t>Commissaires aux comptes</t>
        </is>
      </c>
      <c r="G9" s="766" t="inlineStr">
        <is>
          <t>Personnel de Direction</t>
        </is>
      </c>
      <c r="H9" s="766" t="inlineStr">
        <is>
          <t>Cadres moyens et supérieurs</t>
        </is>
      </c>
      <c r="I9" s="766" t="inlineStr">
        <is>
          <t>Personnel d'exécution</t>
        </is>
      </c>
      <c r="J9" s="766" t="inlineStr">
        <is>
          <t xml:space="preserve">Autres parties liées </t>
        </is>
      </c>
      <c r="K9" s="766" t="inlineStr">
        <is>
          <t>TOTAL</t>
        </is>
      </c>
      <c r="L9" s="683" t="inlineStr">
        <is>
          <t>pourcentage des FPE</t>
        </is>
      </c>
      <c r="M9" s="683" t="inlineStr">
        <is>
          <t>Excédant à la limite</t>
        </is>
      </c>
    </row>
    <row r="10" ht="90" customFormat="1" customHeight="1" s="658">
      <c r="A10" s="896" t="n"/>
      <c r="B10" s="962" t="n"/>
      <c r="C10" s="684" t="inlineStr">
        <is>
          <t>(a)</t>
        </is>
      </c>
      <c r="D10" s="684" t="inlineStr">
        <is>
          <t>(b)</t>
        </is>
      </c>
      <c r="E10" s="684" t="inlineStr">
        <is>
          <t>(c)</t>
        </is>
      </c>
      <c r="F10" s="684" t="inlineStr">
        <is>
          <t>(d)</t>
        </is>
      </c>
      <c r="G10" s="684" t="inlineStr">
        <is>
          <t>(e)</t>
        </is>
      </c>
      <c r="H10" s="684" t="inlineStr">
        <is>
          <t>(f)</t>
        </is>
      </c>
      <c r="I10" s="684" t="inlineStr">
        <is>
          <t>(g)</t>
        </is>
      </c>
      <c r="J10" s="684" t="inlineStr">
        <is>
          <t>(h)</t>
        </is>
      </c>
      <c r="K10" s="685" t="inlineStr">
        <is>
          <t>(i)= a+b+c+d+e+f+g+h</t>
        </is>
      </c>
      <c r="L10" s="685" t="inlineStr">
        <is>
          <t>(j)=i/FPE *</t>
        </is>
      </c>
      <c r="M10" s="685" t="inlineStr">
        <is>
          <t xml:space="preserve">(k)= Max[0; (Total de i-(20%*FPE))] </t>
        </is>
      </c>
    </row>
    <row r="11" ht="35.25" customFormat="1" customHeight="1" s="686">
      <c r="A11" s="869" t="inlineStr">
        <is>
          <t>PR001</t>
        </is>
      </c>
      <c r="B11" s="869" t="inlineStr">
        <is>
          <t xml:space="preserve">Montant des concours </t>
        </is>
      </c>
      <c r="C11" s="390" t="n"/>
      <c r="D11" s="390" t="n"/>
      <c r="E11" s="390" t="n"/>
      <c r="F11" s="390" t="n"/>
      <c r="G11" s="390" t="n"/>
      <c r="H11" s="390" t="n"/>
      <c r="I11" s="390" t="n"/>
      <c r="J11" s="390" t="n"/>
      <c r="K11" s="390" t="n"/>
      <c r="L11" s="879" t="n"/>
      <c r="M11" s="879" t="n"/>
    </row>
    <row r="12" ht="35.25" customFormat="1" customHeight="1" s="686">
      <c r="A12" s="869" t="inlineStr">
        <is>
          <t>PR002</t>
        </is>
      </c>
      <c r="B12" s="869" t="inlineStr">
        <is>
          <t>Engagements par signature</t>
        </is>
      </c>
      <c r="C12" s="390" t="n"/>
      <c r="D12" s="390" t="n"/>
      <c r="E12" s="390" t="n"/>
      <c r="F12" s="390" t="n"/>
      <c r="G12" s="390" t="n"/>
      <c r="H12" s="390" t="n"/>
      <c r="I12" s="390" t="n"/>
      <c r="J12" s="390" t="n"/>
      <c r="K12" s="390" t="n">
        <v>0</v>
      </c>
      <c r="L12" s="958" t="n"/>
      <c r="M12" s="958" t="n"/>
    </row>
    <row r="13" ht="35.25" customFormat="1" customHeight="1" s="658">
      <c r="A13" s="869" t="inlineStr">
        <is>
          <t>PR003</t>
        </is>
      </c>
      <c r="B13" s="869" t="inlineStr">
        <is>
          <t>Total des engagements</t>
        </is>
      </c>
      <c r="C13" s="390" t="n">
        <v>0</v>
      </c>
      <c r="D13" s="390" t="n">
        <v>0</v>
      </c>
      <c r="E13" s="390" t="n"/>
      <c r="F13" s="390" t="n"/>
      <c r="G13" s="390" t="n">
        <v>0</v>
      </c>
      <c r="H13" s="390" t="n"/>
      <c r="I13" s="390" t="n"/>
      <c r="J13" s="390" t="n"/>
      <c r="K13" s="390" t="n"/>
      <c r="L13" s="896" t="n"/>
      <c r="M13" s="896" t="n"/>
    </row>
    <row r="14" ht="35.25" customFormat="1" customHeight="1" s="658">
      <c r="A14" s="869" t="inlineStr">
        <is>
          <t>PR004</t>
        </is>
      </c>
      <c r="B14" s="879" t="n"/>
      <c r="C14" s="894" t="n"/>
      <c r="D14" s="894" t="n"/>
      <c r="E14" s="894" t="n"/>
      <c r="F14" s="894" t="n"/>
      <c r="G14" s="894" t="n"/>
      <c r="H14" s="894" t="n"/>
      <c r="I14" s="894" t="n"/>
      <c r="J14" s="894" t="n"/>
      <c r="K14" s="895" t="n"/>
      <c r="L14" s="390">
        <f>K13/C19</f>
        <v/>
      </c>
      <c r="M14" s="390" t="n">
        <v>0</v>
      </c>
    </row>
    <row r="15"/>
    <row r="16" ht="18" customHeight="1" s="885">
      <c r="A16" s="874" t="inlineStr">
        <is>
          <t>Poste mémoire - Fonds propres effectifs</t>
        </is>
      </c>
      <c r="B16" s="886" t="n"/>
      <c r="C16" s="886" t="n"/>
      <c r="D16" s="886" t="n"/>
      <c r="E16" s="874" t="n"/>
    </row>
    <row r="17" ht="17.5" customHeight="1" s="885">
      <c r="A17" s="875" t="n"/>
      <c r="B17" s="956" t="n"/>
      <c r="C17" s="956" t="n"/>
      <c r="D17" s="956" t="n"/>
    </row>
    <row r="18" ht="36" customHeight="1" s="885">
      <c r="A18" s="679" t="inlineStr">
        <is>
          <t>Code DISPRU</t>
        </is>
      </c>
      <c r="B18" s="680" t="inlineStr">
        <is>
          <t>Poste</t>
        </is>
      </c>
      <c r="C18" s="389" t="inlineStr">
        <is>
          <t>Montant</t>
        </is>
      </c>
    </row>
    <row r="19" ht="17.5" customHeight="1" s="885">
      <c r="A19" s="681" t="inlineStr">
        <is>
          <t>FPI41 / FPC41</t>
        </is>
      </c>
      <c r="B19" s="682" t="inlineStr">
        <is>
          <t>Fonds propres effectifs*</t>
        </is>
      </c>
      <c r="C19" s="390" t="n"/>
    </row>
    <row r="20"/>
    <row r="21" ht="17.5" customHeight="1" s="885">
      <c r="A21" s="877" t="inlineStr">
        <is>
          <t>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DdZ1SfgwEIfbFVxTwjVIA==" formatRows="1" sort="1" spinCount="100000" hashValue="2xpullTWtbzsl6yvTHgbzUULlSDSoe0QdtOx0DhL1MhbdR+sKTg71mcy7GYsgIJYwgFp9eNOel7VC/Zj5WKohQ=="/>
  <mergeCells count="10">
    <mergeCell ref="K8:M8"/>
    <mergeCell ref="A17:D17"/>
    <mergeCell ref="B14:K14"/>
    <mergeCell ref="A8:A10"/>
    <mergeCell ref="A1:L1"/>
    <mergeCell ref="L11:L13"/>
    <mergeCell ref="M11:M13"/>
    <mergeCell ref="B8:B10"/>
    <mergeCell ref="A16:D16"/>
    <mergeCell ref="C8:J8"/>
  </mergeCells>
  <pageMargins left="0.708333333333333" right="0.708333333333333" top="0.747916666666667" bottom="0.747916666666667" header="0.511811023622047" footer="0.315277777777778"/>
  <pageSetup orientation="landscape" paperSize="9" scale="48" horizontalDpi="300" verticalDpi="300"/>
  <headerFooter>
    <oddHeader/>
    <oddFooter>&amp;R&amp;P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MK60"/>
  <sheetViews>
    <sheetView view="pageBreakPreview" zoomScale="50" zoomScaleNormal="70" zoomScalePageLayoutView="50" workbookViewId="0">
      <selection activeCell="F9" sqref="F9"/>
    </sheetView>
  </sheetViews>
  <sheetFormatPr baseColWidth="10" defaultColWidth="10" defaultRowHeight="22.5" customHeight="1"/>
  <cols>
    <col collapsed="1" width="11.08984375" customWidth="1" style="461" min="1" max="1"/>
    <col collapsed="1" width="62.453125" customWidth="1" style="461" min="2" max="2"/>
    <col collapsed="1" width="28.26953125" customWidth="1" style="461" min="3" max="11"/>
    <col collapsed="1" width="10" customWidth="1" style="461" min="12" max="16384"/>
  </cols>
  <sheetData>
    <row r="1" ht="44.25" customFormat="1" customHeight="1" s="454">
      <c r="A1" s="881" t="inlineStr">
        <is>
          <t>LISTE DES PRINCIPAUX ACTIONNAIRES,  DIRIGEANTS, MEMBRES DU PERSONNEL ET AUTRES PARTIES LIEES BENEFICIANT DE PRÊTS ET D'ENGAGEMENTS SUPERIEURS A 5% DES FONDS PROPRES EFFECTIFS DE L'ETABLISSEMENT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989" t="inlineStr">
        <is>
          <t>EP39</t>
        </is>
      </c>
    </row>
    <row r="2" ht="31.5" customFormat="1" customHeight="1" s="456">
      <c r="B2" s="457" t="n"/>
      <c r="C2" s="458" t="n"/>
      <c r="D2" s="990" t="n"/>
      <c r="E2" s="990" t="n"/>
      <c r="F2" s="990" t="n"/>
      <c r="G2" s="990" t="n"/>
      <c r="H2" s="990" t="n"/>
      <c r="I2" s="990" t="n"/>
      <c r="J2" s="991" t="n"/>
      <c r="K2" s="990" t="n"/>
      <c r="L2" s="990" t="n"/>
      <c r="M2" s="454" t="n"/>
      <c r="N2" s="454" t="n"/>
      <c r="O2" s="454" t="n"/>
      <c r="P2" s="454" t="n"/>
      <c r="Q2" s="454" t="n"/>
      <c r="R2" s="454" t="n"/>
      <c r="S2" s="454" t="n"/>
      <c r="T2" s="454" t="n"/>
      <c r="U2" s="454" t="n"/>
      <c r="V2" s="454" t="n"/>
      <c r="W2" s="454" t="n"/>
      <c r="X2" s="454" t="n"/>
      <c r="Y2" s="454" t="n"/>
      <c r="Z2" s="454" t="n"/>
      <c r="AA2" s="454" t="n"/>
      <c r="AB2" s="454" t="n"/>
      <c r="AC2" s="454" t="n"/>
      <c r="AD2" s="454" t="n"/>
      <c r="AE2" s="454" t="n"/>
      <c r="AF2" s="454" t="n"/>
      <c r="AG2" s="454" t="n"/>
      <c r="AH2" s="454" t="n"/>
      <c r="AI2" s="454" t="n"/>
      <c r="AJ2" s="454" t="n"/>
      <c r="AK2" s="454" t="n"/>
      <c r="AL2" s="454" t="n"/>
      <c r="AM2" s="454" t="n"/>
      <c r="AN2" s="454" t="n"/>
      <c r="AO2" s="454" t="n"/>
      <c r="AP2" s="454" t="n"/>
      <c r="AQ2" s="454" t="n"/>
      <c r="AR2" s="454" t="n"/>
      <c r="AS2" s="454" t="n"/>
      <c r="AT2" s="454" t="n"/>
      <c r="AU2" s="454" t="n"/>
      <c r="AV2" s="454" t="n"/>
      <c r="AW2" s="454" t="n"/>
      <c r="AX2" s="454" t="n"/>
      <c r="AY2" s="454" t="n"/>
      <c r="AZ2" s="454" t="n"/>
      <c r="BA2" s="454" t="n"/>
      <c r="BB2" s="454" t="n"/>
      <c r="BC2" s="454" t="n"/>
      <c r="BD2" s="454" t="n"/>
      <c r="BE2" s="454" t="n"/>
      <c r="BF2" s="454" t="n"/>
      <c r="BG2" s="454" t="n"/>
      <c r="BH2" s="454" t="n"/>
      <c r="BI2" s="454" t="n"/>
      <c r="BJ2" s="454" t="n"/>
      <c r="BK2" s="454" t="n"/>
      <c r="BL2" s="454" t="n"/>
      <c r="BM2" s="454" t="n"/>
      <c r="BN2" s="454" t="n"/>
      <c r="BO2" s="454" t="n"/>
      <c r="BP2" s="454" t="n"/>
      <c r="BQ2" s="454" t="n"/>
      <c r="BR2" s="454" t="n"/>
      <c r="BS2" s="454" t="n"/>
      <c r="BT2" s="454" t="n"/>
      <c r="BU2" s="454" t="n"/>
      <c r="BV2" s="454" t="n"/>
      <c r="BW2" s="454" t="n"/>
      <c r="BX2" s="454" t="n"/>
      <c r="BY2" s="454" t="n"/>
      <c r="BZ2" s="454" t="n"/>
      <c r="CA2" s="454" t="n"/>
      <c r="CB2" s="454" t="n"/>
      <c r="CC2" s="454" t="n"/>
      <c r="CD2" s="454" t="n"/>
      <c r="CE2" s="454" t="n"/>
      <c r="CF2" s="454" t="n"/>
      <c r="CG2" s="454" t="n"/>
      <c r="CH2" s="454" t="n"/>
      <c r="CI2" s="454" t="n"/>
      <c r="CJ2" s="454" t="n"/>
      <c r="CK2" s="454" t="n"/>
      <c r="CL2" s="454" t="n"/>
      <c r="CM2" s="454" t="n"/>
      <c r="CN2" s="454" t="n"/>
      <c r="CO2" s="454" t="n"/>
      <c r="CP2" s="454" t="n"/>
      <c r="CQ2" s="454" t="n"/>
      <c r="CR2" s="454" t="n"/>
      <c r="CS2" s="454" t="n"/>
      <c r="CT2" s="454" t="n"/>
      <c r="CU2" s="454" t="n"/>
      <c r="CV2" s="454" t="n"/>
      <c r="CW2" s="454" t="n"/>
      <c r="CX2" s="454" t="n"/>
      <c r="CY2" s="454" t="n"/>
      <c r="CZ2" s="454" t="n"/>
      <c r="DA2" s="454" t="n"/>
      <c r="DB2" s="454" t="n"/>
      <c r="DC2" s="454" t="n"/>
      <c r="DD2" s="454" t="n"/>
      <c r="DE2" s="454" t="n"/>
      <c r="DF2" s="454" t="n"/>
      <c r="DG2" s="454" t="n"/>
      <c r="DH2" s="454" t="n"/>
      <c r="DI2" s="454" t="n"/>
      <c r="DJ2" s="454" t="n"/>
      <c r="DK2" s="454" t="n"/>
      <c r="DL2" s="454" t="n"/>
      <c r="DM2" s="454" t="n"/>
      <c r="DN2" s="454" t="n"/>
      <c r="DO2" s="454" t="n"/>
      <c r="DP2" s="454" t="n"/>
      <c r="DQ2" s="454" t="n"/>
      <c r="DR2" s="454" t="n"/>
      <c r="DS2" s="454" t="n"/>
      <c r="DT2" s="454" t="n"/>
      <c r="DU2" s="454" t="n"/>
      <c r="DV2" s="454" t="n"/>
      <c r="DW2" s="454" t="n"/>
      <c r="DX2" s="454" t="n"/>
      <c r="DY2" s="454" t="n"/>
      <c r="DZ2" s="454" t="n"/>
      <c r="EA2" s="454" t="n"/>
      <c r="EB2" s="454" t="n"/>
      <c r="EC2" s="454" t="n"/>
      <c r="ED2" s="454" t="n"/>
      <c r="EE2" s="454" t="n"/>
      <c r="EF2" s="454" t="n"/>
      <c r="EG2" s="454" t="n"/>
      <c r="EH2" s="454" t="n"/>
      <c r="EI2" s="454" t="n"/>
      <c r="EJ2" s="454" t="n"/>
      <c r="EK2" s="454" t="n"/>
      <c r="EL2" s="454" t="n"/>
      <c r="EM2" s="454" t="n"/>
      <c r="EN2" s="454" t="n"/>
      <c r="EO2" s="454" t="n"/>
      <c r="EP2" s="454" t="n"/>
      <c r="EQ2" s="454" t="n"/>
      <c r="ER2" s="454" t="n"/>
      <c r="ES2" s="454" t="n"/>
      <c r="ET2" s="454" t="n"/>
      <c r="EU2" s="454" t="n"/>
      <c r="EV2" s="454" t="n"/>
      <c r="EW2" s="454" t="n"/>
      <c r="EX2" s="454" t="n"/>
      <c r="EY2" s="454" t="n"/>
      <c r="EZ2" s="454" t="n"/>
      <c r="FA2" s="454" t="n"/>
      <c r="FB2" s="454" t="n"/>
      <c r="FC2" s="454" t="n"/>
      <c r="FD2" s="454" t="n"/>
      <c r="FE2" s="454" t="n"/>
      <c r="FF2" s="454" t="n"/>
      <c r="FG2" s="454" t="n"/>
      <c r="FH2" s="454" t="n"/>
      <c r="FI2" s="454" t="n"/>
      <c r="FJ2" s="454" t="n"/>
      <c r="FK2" s="454" t="n"/>
      <c r="FL2" s="454" t="n"/>
      <c r="FM2" s="454" t="n"/>
      <c r="FN2" s="454" t="n"/>
      <c r="FO2" s="454" t="n"/>
      <c r="FP2" s="454" t="n"/>
      <c r="FQ2" s="454" t="n"/>
      <c r="FR2" s="454" t="n"/>
      <c r="FS2" s="454" t="n"/>
      <c r="FT2" s="454" t="n"/>
      <c r="FU2" s="454" t="n"/>
      <c r="FV2" s="454" t="n"/>
      <c r="FW2" s="454" t="n"/>
      <c r="FX2" s="454" t="n"/>
      <c r="FY2" s="454" t="n"/>
      <c r="FZ2" s="454" t="n"/>
      <c r="GA2" s="454" t="n"/>
      <c r="GB2" s="454" t="n"/>
      <c r="GC2" s="454" t="n"/>
      <c r="GD2" s="454" t="n"/>
      <c r="GE2" s="454" t="n"/>
      <c r="GF2" s="454" t="n"/>
      <c r="GG2" s="454" t="n"/>
      <c r="GH2" s="454" t="n"/>
      <c r="GI2" s="454" t="n"/>
      <c r="GJ2" s="454" t="n"/>
      <c r="GK2" s="454" t="n"/>
      <c r="GL2" s="454" t="n"/>
      <c r="GM2" s="454" t="n"/>
      <c r="GN2" s="454" t="n"/>
      <c r="GO2" s="454" t="n"/>
      <c r="GP2" s="454" t="n"/>
      <c r="GQ2" s="454" t="n"/>
      <c r="GR2" s="454" t="n"/>
      <c r="GS2" s="454" t="n"/>
      <c r="GT2" s="454" t="n"/>
      <c r="GU2" s="454" t="n"/>
      <c r="GV2" s="454" t="n"/>
      <c r="GW2" s="454" t="n"/>
      <c r="GX2" s="454" t="n"/>
      <c r="GY2" s="454" t="n"/>
      <c r="GZ2" s="454" t="n"/>
      <c r="HA2" s="454" t="n"/>
      <c r="HB2" s="454" t="n"/>
      <c r="HC2" s="454" t="n"/>
      <c r="HD2" s="454" t="n"/>
      <c r="HE2" s="454" t="n"/>
      <c r="HF2" s="454" t="n"/>
      <c r="HG2" s="454" t="n"/>
      <c r="HH2" s="454" t="n"/>
      <c r="HI2" s="454" t="n"/>
      <c r="HJ2" s="454" t="n"/>
      <c r="HK2" s="454" t="n"/>
      <c r="HL2" s="454" t="n"/>
      <c r="HM2" s="454" t="n"/>
      <c r="HN2" s="454" t="n"/>
      <c r="HO2" s="454" t="n"/>
      <c r="HP2" s="454" t="n"/>
      <c r="HQ2" s="454" t="n"/>
      <c r="HR2" s="454" t="n"/>
      <c r="HS2" s="454" t="n"/>
      <c r="HT2" s="454" t="n"/>
      <c r="HU2" s="454" t="n"/>
      <c r="HV2" s="454" t="n"/>
      <c r="HW2" s="454" t="n"/>
      <c r="HX2" s="454" t="n"/>
      <c r="HY2" s="454" t="n"/>
      <c r="HZ2" s="454" t="n"/>
      <c r="IA2" s="454" t="n"/>
      <c r="IB2" s="454" t="n"/>
      <c r="IC2" s="454" t="n"/>
      <c r="ID2" s="454" t="n"/>
      <c r="IE2" s="454" t="n"/>
      <c r="IF2" s="454" t="n"/>
      <c r="IG2" s="454" t="n"/>
      <c r="IH2" s="454" t="n"/>
      <c r="II2" s="454" t="n"/>
      <c r="IJ2" s="454" t="n"/>
      <c r="IK2" s="454" t="n"/>
      <c r="IL2" s="454" t="n"/>
      <c r="IM2" s="454" t="n"/>
      <c r="IN2" s="454" t="n"/>
      <c r="IO2" s="454" t="n"/>
      <c r="IP2" s="454" t="n"/>
      <c r="IQ2" s="454" t="n"/>
      <c r="IR2" s="454" t="n"/>
      <c r="IS2" s="454" t="n"/>
      <c r="IT2" s="454" t="n"/>
      <c r="IU2" s="454" t="n"/>
      <c r="IV2" s="454" t="n"/>
      <c r="IW2" s="454" t="n"/>
      <c r="IX2" s="454" t="n"/>
      <c r="IY2" s="454" t="n"/>
      <c r="IZ2" s="454" t="n"/>
      <c r="JA2" s="454" t="n"/>
      <c r="JB2" s="454" t="n"/>
      <c r="JC2" s="454" t="n"/>
      <c r="JD2" s="454" t="n"/>
      <c r="JE2" s="454" t="n"/>
      <c r="JF2" s="454" t="n"/>
      <c r="JG2" s="454" t="n"/>
      <c r="JH2" s="454" t="n"/>
      <c r="JI2" s="454" t="n"/>
      <c r="JJ2" s="454" t="n"/>
      <c r="JK2" s="454" t="n"/>
      <c r="JL2" s="454" t="n"/>
      <c r="JM2" s="454" t="n"/>
      <c r="JN2" s="454" t="n"/>
      <c r="JO2" s="454" t="n"/>
      <c r="JP2" s="454" t="n"/>
      <c r="JQ2" s="454" t="n"/>
      <c r="JR2" s="454" t="n"/>
      <c r="JS2" s="454" t="n"/>
      <c r="JT2" s="454" t="n"/>
      <c r="JU2" s="454" t="n"/>
      <c r="JV2" s="454" t="n"/>
      <c r="JW2" s="454" t="n"/>
      <c r="JX2" s="454" t="n"/>
      <c r="JY2" s="454" t="n"/>
      <c r="JZ2" s="454" t="n"/>
      <c r="KA2" s="454" t="n"/>
      <c r="KB2" s="454" t="n"/>
      <c r="KC2" s="454" t="n"/>
      <c r="KD2" s="454" t="n"/>
      <c r="KE2" s="454" t="n"/>
      <c r="KF2" s="454" t="n"/>
      <c r="KG2" s="454" t="n"/>
      <c r="KH2" s="454" t="n"/>
      <c r="KI2" s="454" t="n"/>
      <c r="KJ2" s="454" t="n"/>
      <c r="KK2" s="454" t="n"/>
      <c r="KL2" s="454" t="n"/>
      <c r="KM2" s="454" t="n"/>
      <c r="KN2" s="454" t="n"/>
      <c r="KO2" s="454" t="n"/>
      <c r="KP2" s="454" t="n"/>
      <c r="KQ2" s="454" t="n"/>
      <c r="KR2" s="454" t="n"/>
      <c r="KS2" s="454" t="n"/>
      <c r="KT2" s="454" t="n"/>
      <c r="KU2" s="454" t="n"/>
      <c r="KV2" s="454" t="n"/>
      <c r="KW2" s="454" t="n"/>
      <c r="KX2" s="454" t="n"/>
      <c r="KY2" s="454" t="n"/>
      <c r="KZ2" s="454" t="n"/>
      <c r="LA2" s="454" t="n"/>
      <c r="LB2" s="454" t="n"/>
      <c r="LC2" s="454" t="n"/>
      <c r="LD2" s="454" t="n"/>
      <c r="LE2" s="454" t="n"/>
      <c r="LF2" s="454" t="n"/>
      <c r="LG2" s="454" t="n"/>
      <c r="LH2" s="454" t="n"/>
      <c r="LI2" s="454" t="n"/>
      <c r="LJ2" s="454" t="n"/>
      <c r="LK2" s="454" t="n"/>
      <c r="LL2" s="454" t="n"/>
      <c r="LM2" s="454" t="n"/>
      <c r="LN2" s="454" t="n"/>
      <c r="LO2" s="454" t="n"/>
      <c r="LP2" s="454" t="n"/>
      <c r="LQ2" s="454" t="n"/>
      <c r="LR2" s="454" t="n"/>
      <c r="LS2" s="454" t="n"/>
      <c r="LT2" s="454" t="n"/>
      <c r="LU2" s="454" t="n"/>
      <c r="LV2" s="454" t="n"/>
      <c r="LW2" s="454" t="n"/>
      <c r="LX2" s="454" t="n"/>
      <c r="LY2" s="454" t="n"/>
      <c r="LZ2" s="454" t="n"/>
      <c r="MA2" s="454" t="n"/>
      <c r="MB2" s="454" t="n"/>
      <c r="MC2" s="454" t="n"/>
      <c r="MD2" s="454" t="n"/>
      <c r="ME2" s="454" t="n"/>
      <c r="MF2" s="454" t="n"/>
      <c r="MG2" s="454" t="n"/>
      <c r="MH2" s="454" t="n"/>
      <c r="MI2" s="454" t="n"/>
      <c r="MJ2" s="454" t="n"/>
      <c r="MK2" s="454" t="n"/>
      <c r="ML2" s="454" t="n"/>
      <c r="MM2" s="454" t="n"/>
      <c r="MN2" s="454" t="n"/>
      <c r="MO2" s="454" t="n"/>
      <c r="MP2" s="454" t="n"/>
      <c r="MQ2" s="454" t="n"/>
      <c r="MR2" s="454" t="n"/>
      <c r="MS2" s="454" t="n"/>
      <c r="MT2" s="454" t="n"/>
      <c r="MU2" s="454" t="n"/>
      <c r="MV2" s="454" t="n"/>
      <c r="MW2" s="454" t="n"/>
      <c r="MX2" s="454" t="n"/>
      <c r="MY2" s="454" t="n"/>
      <c r="MZ2" s="454" t="n"/>
      <c r="NA2" s="454" t="n"/>
      <c r="NB2" s="454" t="n"/>
      <c r="NC2" s="454" t="n"/>
      <c r="ND2" s="454" t="n"/>
      <c r="NE2" s="454" t="n"/>
      <c r="NF2" s="454" t="n"/>
      <c r="NG2" s="454" t="n"/>
      <c r="NH2" s="454" t="n"/>
      <c r="NI2" s="454" t="n"/>
      <c r="NJ2" s="454" t="n"/>
      <c r="NK2" s="454" t="n"/>
      <c r="NL2" s="454" t="n"/>
      <c r="NM2" s="454" t="n"/>
      <c r="NN2" s="454" t="n"/>
      <c r="NO2" s="454" t="n"/>
      <c r="NP2" s="454" t="n"/>
      <c r="NQ2" s="454" t="n"/>
      <c r="NR2" s="454" t="n"/>
      <c r="NS2" s="454" t="n"/>
      <c r="NT2" s="454" t="n"/>
      <c r="NU2" s="454" t="n"/>
      <c r="NV2" s="454" t="n"/>
      <c r="NW2" s="454" t="n"/>
      <c r="NX2" s="454" t="n"/>
      <c r="NY2" s="454" t="n"/>
      <c r="NZ2" s="454" t="n"/>
      <c r="OA2" s="454" t="n"/>
      <c r="OB2" s="454" t="n"/>
      <c r="OC2" s="454" t="n"/>
      <c r="OD2" s="454" t="n"/>
      <c r="OE2" s="454" t="n"/>
      <c r="OF2" s="454" t="n"/>
      <c r="OG2" s="454" t="n"/>
      <c r="OH2" s="454" t="n"/>
      <c r="OI2" s="454" t="n"/>
      <c r="OJ2" s="454" t="n"/>
      <c r="OK2" s="454" t="n"/>
      <c r="OL2" s="454" t="n"/>
      <c r="OM2" s="454" t="n"/>
      <c r="ON2" s="454" t="n"/>
      <c r="OO2" s="454" t="n"/>
      <c r="OP2" s="454" t="n"/>
      <c r="OQ2" s="454" t="n"/>
      <c r="OR2" s="454" t="n"/>
      <c r="OS2" s="454" t="n"/>
      <c r="OT2" s="454" t="n"/>
      <c r="OU2" s="454" t="n"/>
      <c r="OV2" s="454" t="n"/>
      <c r="OW2" s="454" t="n"/>
      <c r="OX2" s="454" t="n"/>
      <c r="OY2" s="454" t="n"/>
      <c r="OZ2" s="454" t="n"/>
      <c r="PA2" s="454" t="n"/>
      <c r="PB2" s="454" t="n"/>
      <c r="PC2" s="454" t="n"/>
      <c r="PD2" s="454" t="n"/>
      <c r="PE2" s="454" t="n"/>
      <c r="PF2" s="454" t="n"/>
      <c r="PG2" s="454" t="n"/>
      <c r="PH2" s="454" t="n"/>
      <c r="PI2" s="454" t="n"/>
      <c r="PJ2" s="454" t="n"/>
      <c r="PK2" s="454" t="n"/>
      <c r="PL2" s="454" t="n"/>
      <c r="PM2" s="454" t="n"/>
      <c r="PN2" s="454" t="n"/>
      <c r="PO2" s="454" t="n"/>
      <c r="PP2" s="454" t="n"/>
      <c r="PQ2" s="454" t="n"/>
      <c r="PR2" s="454" t="n"/>
      <c r="PS2" s="454" t="n"/>
      <c r="PT2" s="454" t="n"/>
      <c r="PU2" s="454" t="n"/>
      <c r="PV2" s="454" t="n"/>
      <c r="PW2" s="454" t="n"/>
      <c r="PX2" s="454" t="n"/>
      <c r="PY2" s="454" t="n"/>
      <c r="PZ2" s="454" t="n"/>
      <c r="QA2" s="454" t="n"/>
      <c r="QB2" s="454" t="n"/>
      <c r="QC2" s="454" t="n"/>
      <c r="QD2" s="454" t="n"/>
      <c r="QE2" s="454" t="n"/>
      <c r="QF2" s="454" t="n"/>
      <c r="QG2" s="454" t="n"/>
      <c r="QH2" s="454" t="n"/>
      <c r="QI2" s="454" t="n"/>
      <c r="QJ2" s="454" t="n"/>
      <c r="QK2" s="454" t="n"/>
      <c r="QL2" s="454" t="n"/>
      <c r="QM2" s="454" t="n"/>
      <c r="QN2" s="454" t="n"/>
      <c r="QO2" s="454" t="n"/>
      <c r="QP2" s="454" t="n"/>
      <c r="QQ2" s="454" t="n"/>
      <c r="QR2" s="454" t="n"/>
      <c r="QS2" s="454" t="n"/>
      <c r="QT2" s="454" t="n"/>
      <c r="QU2" s="454" t="n"/>
      <c r="QV2" s="454" t="n"/>
      <c r="QW2" s="454" t="n"/>
      <c r="QX2" s="454" t="n"/>
      <c r="QY2" s="454" t="n"/>
      <c r="QZ2" s="454" t="n"/>
      <c r="RA2" s="454" t="n"/>
      <c r="RB2" s="454" t="n"/>
      <c r="RC2" s="454" t="n"/>
      <c r="RD2" s="454" t="n"/>
      <c r="RE2" s="454" t="n"/>
      <c r="RF2" s="454" t="n"/>
      <c r="RG2" s="454" t="n"/>
      <c r="RH2" s="454" t="n"/>
      <c r="RI2" s="454" t="n"/>
      <c r="RJ2" s="454" t="n"/>
      <c r="RK2" s="454" t="n"/>
      <c r="RL2" s="454" t="n"/>
      <c r="RM2" s="454" t="n"/>
      <c r="RN2" s="454" t="n"/>
      <c r="RO2" s="454" t="n"/>
      <c r="RP2" s="454" t="n"/>
      <c r="RQ2" s="454" t="n"/>
      <c r="RR2" s="454" t="n"/>
      <c r="RS2" s="454" t="n"/>
      <c r="RT2" s="454" t="n"/>
      <c r="RU2" s="454" t="n"/>
      <c r="RV2" s="454" t="n"/>
      <c r="RW2" s="454" t="n"/>
      <c r="RX2" s="454" t="n"/>
      <c r="RY2" s="454" t="n"/>
      <c r="RZ2" s="454" t="n"/>
      <c r="SA2" s="454" t="n"/>
      <c r="SB2" s="454" t="n"/>
      <c r="SC2" s="454" t="n"/>
      <c r="SD2" s="454" t="n"/>
      <c r="SE2" s="454" t="n"/>
      <c r="SF2" s="454" t="n"/>
      <c r="SG2" s="454" t="n"/>
      <c r="SH2" s="454" t="n"/>
      <c r="SI2" s="454" t="n"/>
      <c r="SJ2" s="454" t="n"/>
      <c r="SK2" s="454" t="n"/>
      <c r="SL2" s="454" t="n"/>
      <c r="SM2" s="454" t="n"/>
      <c r="SN2" s="454" t="n"/>
      <c r="SO2" s="454" t="n"/>
      <c r="SP2" s="454" t="n"/>
      <c r="SQ2" s="454" t="n"/>
      <c r="SR2" s="454" t="n"/>
      <c r="SS2" s="454" t="n"/>
      <c r="ST2" s="454" t="n"/>
      <c r="SU2" s="454" t="n"/>
      <c r="SV2" s="454" t="n"/>
      <c r="SW2" s="454" t="n"/>
      <c r="SX2" s="454" t="n"/>
      <c r="SY2" s="454" t="n"/>
      <c r="SZ2" s="454" t="n"/>
      <c r="TA2" s="454" t="n"/>
      <c r="TB2" s="454" t="n"/>
      <c r="TC2" s="454" t="n"/>
      <c r="TD2" s="454" t="n"/>
      <c r="TE2" s="454" t="n"/>
      <c r="TF2" s="454" t="n"/>
      <c r="TG2" s="454" t="n"/>
      <c r="TH2" s="454" t="n"/>
      <c r="TI2" s="454" t="n"/>
      <c r="TJ2" s="454" t="n"/>
      <c r="TK2" s="454" t="n"/>
      <c r="TL2" s="454" t="n"/>
      <c r="TM2" s="454" t="n"/>
      <c r="TN2" s="454" t="n"/>
      <c r="TO2" s="454" t="n"/>
      <c r="TP2" s="454" t="n"/>
      <c r="TQ2" s="454" t="n"/>
      <c r="TR2" s="454" t="n"/>
      <c r="TS2" s="454" t="n"/>
      <c r="TT2" s="454" t="n"/>
      <c r="TU2" s="454" t="n"/>
      <c r="TV2" s="454" t="n"/>
      <c r="TW2" s="454" t="n"/>
      <c r="TX2" s="454" t="n"/>
      <c r="TY2" s="454" t="n"/>
      <c r="TZ2" s="454" t="n"/>
      <c r="UA2" s="454" t="n"/>
      <c r="UB2" s="454" t="n"/>
      <c r="UC2" s="454" t="n"/>
      <c r="UD2" s="454" t="n"/>
      <c r="UE2" s="454" t="n"/>
      <c r="UF2" s="454" t="n"/>
      <c r="UG2" s="454" t="n"/>
      <c r="UH2" s="454" t="n"/>
      <c r="UI2" s="454" t="n"/>
      <c r="UJ2" s="454" t="n"/>
      <c r="UK2" s="454" t="n"/>
      <c r="UL2" s="454" t="n"/>
      <c r="UM2" s="454" t="n"/>
      <c r="UN2" s="454" t="n"/>
      <c r="UO2" s="454" t="n"/>
      <c r="UP2" s="454" t="n"/>
      <c r="UQ2" s="454" t="n"/>
      <c r="UR2" s="454" t="n"/>
      <c r="US2" s="454" t="n"/>
      <c r="UT2" s="454" t="n"/>
      <c r="UU2" s="454" t="n"/>
      <c r="UV2" s="454" t="n"/>
      <c r="UW2" s="454" t="n"/>
      <c r="UX2" s="454" t="n"/>
      <c r="UY2" s="454" t="n"/>
      <c r="UZ2" s="454" t="n"/>
      <c r="VA2" s="454" t="n"/>
      <c r="VB2" s="454" t="n"/>
      <c r="VC2" s="454" t="n"/>
      <c r="VD2" s="454" t="n"/>
      <c r="VE2" s="454" t="n"/>
      <c r="VF2" s="454" t="n"/>
      <c r="VG2" s="454" t="n"/>
      <c r="VH2" s="454" t="n"/>
      <c r="VI2" s="454" t="n"/>
      <c r="VJ2" s="454" t="n"/>
      <c r="VK2" s="454" t="n"/>
      <c r="VL2" s="454" t="n"/>
      <c r="VM2" s="454" t="n"/>
      <c r="VN2" s="454" t="n"/>
      <c r="VO2" s="454" t="n"/>
      <c r="VP2" s="454" t="n"/>
      <c r="VQ2" s="454" t="n"/>
      <c r="VR2" s="454" t="n"/>
      <c r="VS2" s="454" t="n"/>
      <c r="VT2" s="454" t="n"/>
      <c r="VU2" s="454" t="n"/>
      <c r="VV2" s="454" t="n"/>
      <c r="VW2" s="454" t="n"/>
      <c r="VX2" s="454" t="n"/>
      <c r="VY2" s="454" t="n"/>
      <c r="VZ2" s="454" t="n"/>
      <c r="WA2" s="454" t="n"/>
      <c r="WB2" s="454" t="n"/>
      <c r="WC2" s="454" t="n"/>
      <c r="WD2" s="454" t="n"/>
      <c r="WE2" s="454" t="n"/>
      <c r="WF2" s="454" t="n"/>
      <c r="WG2" s="454" t="n"/>
      <c r="WH2" s="454" t="n"/>
      <c r="WI2" s="454" t="n"/>
      <c r="WJ2" s="454" t="n"/>
      <c r="WK2" s="454" t="n"/>
      <c r="WL2" s="454" t="n"/>
      <c r="WM2" s="454" t="n"/>
      <c r="WN2" s="454" t="n"/>
      <c r="WO2" s="454" t="n"/>
      <c r="WP2" s="454" t="n"/>
      <c r="WQ2" s="454" t="n"/>
      <c r="WR2" s="454" t="n"/>
      <c r="WS2" s="454" t="n"/>
      <c r="WT2" s="454" t="n"/>
      <c r="WU2" s="454" t="n"/>
      <c r="WV2" s="454" t="n"/>
      <c r="WW2" s="454" t="n"/>
      <c r="WX2" s="454" t="n"/>
      <c r="WY2" s="454" t="n"/>
      <c r="WZ2" s="454" t="n"/>
      <c r="XA2" s="454" t="n"/>
      <c r="XB2" s="454" t="n"/>
      <c r="XC2" s="454" t="n"/>
      <c r="XD2" s="454" t="n"/>
      <c r="XE2" s="454" t="n"/>
      <c r="XF2" s="454" t="n"/>
      <c r="XG2" s="454" t="n"/>
      <c r="XH2" s="454" t="n"/>
      <c r="XI2" s="454" t="n"/>
      <c r="XJ2" s="454" t="n"/>
      <c r="XK2" s="454" t="n"/>
      <c r="XL2" s="454" t="n"/>
      <c r="XM2" s="454" t="n"/>
      <c r="XN2" s="454" t="n"/>
      <c r="XO2" s="454" t="n"/>
      <c r="XP2" s="454" t="n"/>
      <c r="XQ2" s="454" t="n"/>
      <c r="XR2" s="454" t="n"/>
      <c r="XS2" s="454" t="n"/>
      <c r="XT2" s="454" t="n"/>
      <c r="XU2" s="454" t="n"/>
      <c r="XV2" s="454" t="n"/>
      <c r="XW2" s="454" t="n"/>
      <c r="XX2" s="454" t="n"/>
      <c r="XY2" s="454" t="n"/>
      <c r="XZ2" s="454" t="n"/>
      <c r="YA2" s="454" t="n"/>
      <c r="YB2" s="454" t="n"/>
      <c r="YC2" s="454" t="n"/>
      <c r="YD2" s="454" t="n"/>
      <c r="YE2" s="454" t="n"/>
      <c r="YF2" s="454" t="n"/>
      <c r="YG2" s="454" t="n"/>
      <c r="YH2" s="454" t="n"/>
      <c r="YI2" s="454" t="n"/>
      <c r="YJ2" s="454" t="n"/>
      <c r="YK2" s="454" t="n"/>
      <c r="YL2" s="454" t="n"/>
      <c r="YM2" s="454" t="n"/>
      <c r="YN2" s="454" t="n"/>
      <c r="YO2" s="454" t="n"/>
      <c r="YP2" s="454" t="n"/>
      <c r="YQ2" s="454" t="n"/>
      <c r="YR2" s="454" t="n"/>
      <c r="YS2" s="454" t="n"/>
      <c r="YT2" s="454" t="n"/>
      <c r="YU2" s="454" t="n"/>
      <c r="YV2" s="454" t="n"/>
      <c r="YW2" s="454" t="n"/>
      <c r="YX2" s="454" t="n"/>
      <c r="YY2" s="454" t="n"/>
      <c r="YZ2" s="454" t="n"/>
      <c r="ZA2" s="454" t="n"/>
      <c r="ZB2" s="454" t="n"/>
      <c r="ZC2" s="454" t="n"/>
      <c r="ZD2" s="454" t="n"/>
      <c r="ZE2" s="454" t="n"/>
      <c r="ZF2" s="454" t="n"/>
      <c r="ZG2" s="454" t="n"/>
      <c r="ZH2" s="454" t="n"/>
      <c r="ZI2" s="454" t="n"/>
      <c r="ZJ2" s="454" t="n"/>
      <c r="ZK2" s="454" t="n"/>
      <c r="ZL2" s="454" t="n"/>
      <c r="ZM2" s="454" t="n"/>
      <c r="ZN2" s="454" t="n"/>
      <c r="ZO2" s="454" t="n"/>
      <c r="ZP2" s="454" t="n"/>
      <c r="ZQ2" s="454" t="n"/>
      <c r="ZR2" s="454" t="n"/>
      <c r="ZS2" s="454" t="n"/>
      <c r="ZT2" s="454" t="n"/>
      <c r="ZU2" s="454" t="n"/>
      <c r="ZV2" s="454" t="n"/>
      <c r="ZW2" s="454" t="n"/>
      <c r="ZX2" s="454" t="n"/>
      <c r="ZY2" s="454" t="n"/>
      <c r="ZZ2" s="454" t="n"/>
      <c r="AAA2" s="454" t="n"/>
      <c r="AAB2" s="454" t="n"/>
      <c r="AAC2" s="454" t="n"/>
      <c r="AAD2" s="454" t="n"/>
      <c r="AAE2" s="454" t="n"/>
      <c r="AAF2" s="454" t="n"/>
      <c r="AAG2" s="454" t="n"/>
      <c r="AAH2" s="454" t="n"/>
      <c r="AAI2" s="454" t="n"/>
      <c r="AAJ2" s="454" t="n"/>
      <c r="AAK2" s="454" t="n"/>
      <c r="AAL2" s="454" t="n"/>
      <c r="AAM2" s="454" t="n"/>
      <c r="AAN2" s="454" t="n"/>
      <c r="AAO2" s="454" t="n"/>
      <c r="AAP2" s="454" t="n"/>
      <c r="AAQ2" s="454" t="n"/>
      <c r="AAR2" s="454" t="n"/>
      <c r="AAS2" s="454" t="n"/>
      <c r="AAT2" s="454" t="n"/>
      <c r="AAU2" s="454" t="n"/>
      <c r="AAV2" s="454" t="n"/>
      <c r="AAW2" s="454" t="n"/>
      <c r="AAX2" s="454" t="n"/>
      <c r="AAY2" s="454" t="n"/>
      <c r="AAZ2" s="454" t="n"/>
      <c r="ABA2" s="454" t="n"/>
      <c r="ABB2" s="454" t="n"/>
      <c r="ABC2" s="454" t="n"/>
      <c r="ABD2" s="454" t="n"/>
      <c r="ABE2" s="454" t="n"/>
      <c r="ABF2" s="454" t="n"/>
      <c r="ABG2" s="454" t="n"/>
      <c r="ABH2" s="454" t="n"/>
      <c r="ABI2" s="454" t="n"/>
      <c r="ABJ2" s="454" t="n"/>
      <c r="ABK2" s="454" t="n"/>
      <c r="ABL2" s="454" t="n"/>
      <c r="ABM2" s="454" t="n"/>
      <c r="ABN2" s="454" t="n"/>
      <c r="ABO2" s="454" t="n"/>
      <c r="ABP2" s="454" t="n"/>
      <c r="ABQ2" s="454" t="n"/>
      <c r="ABR2" s="454" t="n"/>
      <c r="ABS2" s="454" t="n"/>
      <c r="ABT2" s="454" t="n"/>
      <c r="ABU2" s="454" t="n"/>
      <c r="ABV2" s="454" t="n"/>
      <c r="ABW2" s="454" t="n"/>
      <c r="ABX2" s="454" t="n"/>
      <c r="ABY2" s="454" t="n"/>
      <c r="ABZ2" s="454" t="n"/>
      <c r="ACA2" s="454" t="n"/>
      <c r="ACB2" s="454" t="n"/>
      <c r="ACC2" s="454" t="n"/>
      <c r="ACD2" s="454" t="n"/>
      <c r="ACE2" s="454" t="n"/>
      <c r="ACF2" s="454" t="n"/>
      <c r="ACG2" s="454" t="n"/>
      <c r="ACH2" s="454" t="n"/>
      <c r="ACI2" s="454" t="n"/>
      <c r="ACJ2" s="454" t="n"/>
      <c r="ACK2" s="454" t="n"/>
      <c r="ACL2" s="454" t="n"/>
      <c r="ACM2" s="454" t="n"/>
      <c r="ACN2" s="454" t="n"/>
      <c r="ACO2" s="454" t="n"/>
      <c r="ACP2" s="454" t="n"/>
      <c r="ACQ2" s="454" t="n"/>
      <c r="ACR2" s="454" t="n"/>
      <c r="ACS2" s="454" t="n"/>
      <c r="ACT2" s="454" t="n"/>
      <c r="ACU2" s="454" t="n"/>
      <c r="ACV2" s="454" t="n"/>
      <c r="ACW2" s="454" t="n"/>
      <c r="ACX2" s="454" t="n"/>
      <c r="ACY2" s="454" t="n"/>
      <c r="ACZ2" s="454" t="n"/>
      <c r="ADA2" s="454" t="n"/>
      <c r="ADB2" s="454" t="n"/>
      <c r="ADC2" s="454" t="n"/>
      <c r="ADD2" s="454" t="n"/>
      <c r="ADE2" s="454" t="n"/>
      <c r="ADF2" s="454" t="n"/>
      <c r="ADG2" s="454" t="n"/>
      <c r="ADH2" s="454" t="n"/>
      <c r="ADI2" s="454" t="n"/>
      <c r="ADJ2" s="454" t="n"/>
      <c r="ADK2" s="454" t="n"/>
      <c r="ADL2" s="454" t="n"/>
      <c r="ADM2" s="454" t="n"/>
      <c r="ADN2" s="454" t="n"/>
      <c r="ADO2" s="454" t="n"/>
      <c r="ADP2" s="454" t="n"/>
      <c r="ADQ2" s="454" t="n"/>
      <c r="ADR2" s="454" t="n"/>
      <c r="ADS2" s="454" t="n"/>
      <c r="ADT2" s="454" t="n"/>
      <c r="ADU2" s="454" t="n"/>
      <c r="ADV2" s="454" t="n"/>
      <c r="ADW2" s="454" t="n"/>
      <c r="ADX2" s="454" t="n"/>
      <c r="ADY2" s="454" t="n"/>
      <c r="ADZ2" s="454" t="n"/>
      <c r="AEA2" s="454" t="n"/>
      <c r="AEB2" s="454" t="n"/>
      <c r="AEC2" s="454" t="n"/>
      <c r="AED2" s="454" t="n"/>
      <c r="AEE2" s="454" t="n"/>
      <c r="AEF2" s="454" t="n"/>
      <c r="AEG2" s="454" t="n"/>
      <c r="AEH2" s="454" t="n"/>
      <c r="AEI2" s="454" t="n"/>
      <c r="AEJ2" s="454" t="n"/>
      <c r="AEK2" s="454" t="n"/>
      <c r="AEL2" s="454" t="n"/>
      <c r="AEM2" s="454" t="n"/>
      <c r="AEN2" s="454" t="n"/>
      <c r="AEO2" s="454" t="n"/>
      <c r="AEP2" s="454" t="n"/>
      <c r="AEQ2" s="454" t="n"/>
      <c r="AER2" s="454" t="n"/>
      <c r="AES2" s="454" t="n"/>
      <c r="AET2" s="454" t="n"/>
      <c r="AEU2" s="454" t="n"/>
      <c r="AEV2" s="454" t="n"/>
      <c r="AEW2" s="454" t="n"/>
      <c r="AEX2" s="454" t="n"/>
      <c r="AEY2" s="454" t="n"/>
      <c r="AEZ2" s="454" t="n"/>
      <c r="AFA2" s="454" t="n"/>
      <c r="AFB2" s="454" t="n"/>
      <c r="AFC2" s="454" t="n"/>
      <c r="AFD2" s="454" t="n"/>
      <c r="AFE2" s="454" t="n"/>
      <c r="AFF2" s="454" t="n"/>
      <c r="AFG2" s="454" t="n"/>
      <c r="AFH2" s="454" t="n"/>
      <c r="AFI2" s="454" t="n"/>
      <c r="AFJ2" s="454" t="n"/>
      <c r="AFK2" s="454" t="n"/>
      <c r="AFL2" s="454" t="n"/>
      <c r="AFM2" s="454" t="n"/>
      <c r="AFN2" s="454" t="n"/>
      <c r="AFO2" s="454" t="n"/>
      <c r="AFP2" s="454" t="n"/>
      <c r="AFQ2" s="454" t="n"/>
      <c r="AFR2" s="454" t="n"/>
      <c r="AFS2" s="454" t="n"/>
      <c r="AFT2" s="454" t="n"/>
      <c r="AFU2" s="454" t="n"/>
      <c r="AFV2" s="454" t="n"/>
      <c r="AFW2" s="454" t="n"/>
      <c r="AFX2" s="454" t="n"/>
      <c r="AFY2" s="454" t="n"/>
      <c r="AFZ2" s="454" t="n"/>
      <c r="AGA2" s="454" t="n"/>
      <c r="AGB2" s="454" t="n"/>
      <c r="AGC2" s="454" t="n"/>
      <c r="AGD2" s="454" t="n"/>
      <c r="AGE2" s="454" t="n"/>
      <c r="AGF2" s="454" t="n"/>
      <c r="AGG2" s="454" t="n"/>
      <c r="AGH2" s="454" t="n"/>
      <c r="AGI2" s="454" t="n"/>
      <c r="AGJ2" s="454" t="n"/>
      <c r="AGK2" s="454" t="n"/>
      <c r="AGL2" s="454" t="n"/>
      <c r="AGM2" s="454" t="n"/>
      <c r="AGN2" s="454" t="n"/>
      <c r="AGO2" s="454" t="n"/>
      <c r="AGP2" s="454" t="n"/>
      <c r="AGQ2" s="454" t="n"/>
      <c r="AGR2" s="454" t="n"/>
      <c r="AGS2" s="454" t="n"/>
      <c r="AGT2" s="454" t="n"/>
      <c r="AGU2" s="454" t="n"/>
      <c r="AGV2" s="454" t="n"/>
      <c r="AGW2" s="454" t="n"/>
      <c r="AGX2" s="454" t="n"/>
      <c r="AGY2" s="454" t="n"/>
      <c r="AGZ2" s="454" t="n"/>
      <c r="AHA2" s="454" t="n"/>
      <c r="AHB2" s="454" t="n"/>
      <c r="AHC2" s="454" t="n"/>
      <c r="AHD2" s="454" t="n"/>
      <c r="AHE2" s="454" t="n"/>
      <c r="AHF2" s="454" t="n"/>
      <c r="AHG2" s="454" t="n"/>
      <c r="AHH2" s="454" t="n"/>
      <c r="AHI2" s="454" t="n"/>
      <c r="AHJ2" s="454" t="n"/>
      <c r="AHK2" s="454" t="n"/>
      <c r="AHL2" s="454" t="n"/>
      <c r="AHM2" s="454" t="n"/>
      <c r="AHN2" s="454" t="n"/>
      <c r="AHO2" s="454" t="n"/>
      <c r="AHP2" s="454" t="n"/>
      <c r="AHQ2" s="454" t="n"/>
      <c r="AHR2" s="454" t="n"/>
      <c r="AHS2" s="454" t="n"/>
      <c r="AHT2" s="454" t="n"/>
      <c r="AHU2" s="454" t="n"/>
      <c r="AHV2" s="454" t="n"/>
      <c r="AHW2" s="454" t="n"/>
      <c r="AHX2" s="454" t="n"/>
      <c r="AHY2" s="454" t="n"/>
      <c r="AHZ2" s="454" t="n"/>
      <c r="AIA2" s="454" t="n"/>
      <c r="AIB2" s="454" t="n"/>
      <c r="AIC2" s="454" t="n"/>
      <c r="AID2" s="454" t="n"/>
      <c r="AIE2" s="454" t="n"/>
      <c r="AIF2" s="454" t="n"/>
      <c r="AIG2" s="454" t="n"/>
      <c r="AIH2" s="454" t="n"/>
      <c r="AII2" s="454" t="n"/>
      <c r="AIJ2" s="454" t="n"/>
      <c r="AIK2" s="454" t="n"/>
      <c r="AIL2" s="454" t="n"/>
      <c r="AIM2" s="454" t="n"/>
      <c r="AIN2" s="454" t="n"/>
      <c r="AIO2" s="454" t="n"/>
      <c r="AIP2" s="454" t="n"/>
      <c r="AIQ2" s="454" t="n"/>
      <c r="AIR2" s="454" t="n"/>
      <c r="AIS2" s="454" t="n"/>
      <c r="AIT2" s="454" t="n"/>
      <c r="AIU2" s="454" t="n"/>
      <c r="AIV2" s="454" t="n"/>
      <c r="AIW2" s="454" t="n"/>
      <c r="AIX2" s="454" t="n"/>
      <c r="AIY2" s="454" t="n"/>
      <c r="AIZ2" s="454" t="n"/>
      <c r="AJA2" s="454" t="n"/>
      <c r="AJB2" s="454" t="n"/>
      <c r="AJC2" s="454" t="n"/>
      <c r="AJD2" s="454" t="n"/>
      <c r="AJE2" s="454" t="n"/>
      <c r="AJF2" s="454" t="n"/>
      <c r="AJG2" s="454" t="n"/>
      <c r="AJH2" s="454" t="n"/>
      <c r="AJI2" s="454" t="n"/>
      <c r="AJJ2" s="454" t="n"/>
      <c r="AJK2" s="454" t="n"/>
      <c r="AJL2" s="454" t="n"/>
      <c r="AJM2" s="454" t="n"/>
      <c r="AJN2" s="454" t="n"/>
      <c r="AJO2" s="454" t="n"/>
      <c r="AJP2" s="454" t="n"/>
      <c r="AJQ2" s="454" t="n"/>
      <c r="AJR2" s="454" t="n"/>
      <c r="AJS2" s="454" t="n"/>
      <c r="AJT2" s="454" t="n"/>
      <c r="AJU2" s="454" t="n"/>
      <c r="AJV2" s="454" t="n"/>
      <c r="AJW2" s="454" t="n"/>
      <c r="AJX2" s="454" t="n"/>
      <c r="AJY2" s="454" t="n"/>
      <c r="AJZ2" s="454" t="n"/>
      <c r="AKA2" s="454" t="n"/>
      <c r="AKB2" s="454" t="n"/>
      <c r="AKC2" s="454" t="n"/>
      <c r="AKD2" s="454" t="n"/>
      <c r="AKE2" s="454" t="n"/>
      <c r="AKF2" s="454" t="n"/>
      <c r="AKG2" s="454" t="n"/>
      <c r="AKH2" s="454" t="n"/>
      <c r="AKI2" s="454" t="n"/>
      <c r="AKJ2" s="454" t="n"/>
      <c r="AKK2" s="454" t="n"/>
      <c r="AKL2" s="454" t="n"/>
      <c r="AKM2" s="454" t="n"/>
      <c r="AKN2" s="454" t="n"/>
      <c r="AKO2" s="454" t="n"/>
      <c r="AKP2" s="454" t="n"/>
      <c r="AKQ2" s="454" t="n"/>
      <c r="AKR2" s="454" t="n"/>
      <c r="AKS2" s="454" t="n"/>
      <c r="AKT2" s="454" t="n"/>
      <c r="AKU2" s="454" t="n"/>
      <c r="AKV2" s="454" t="n"/>
      <c r="AKW2" s="454" t="n"/>
      <c r="AKX2" s="454" t="n"/>
      <c r="AKY2" s="454" t="n"/>
      <c r="AKZ2" s="454" t="n"/>
      <c r="ALA2" s="454" t="n"/>
      <c r="ALB2" s="454" t="n"/>
      <c r="ALC2" s="454" t="n"/>
      <c r="ALD2" s="454" t="n"/>
      <c r="ALE2" s="454" t="n"/>
      <c r="ALF2" s="454" t="n"/>
      <c r="ALG2" s="454" t="n"/>
      <c r="ALH2" s="454" t="n"/>
      <c r="ALI2" s="454" t="n"/>
      <c r="ALJ2" s="454" t="n"/>
      <c r="ALK2" s="454" t="n"/>
      <c r="ALL2" s="454" t="n"/>
      <c r="ALM2" s="454" t="n"/>
      <c r="ALN2" s="454" t="n"/>
      <c r="ALO2" s="454" t="n"/>
      <c r="ALP2" s="454" t="n"/>
      <c r="ALQ2" s="454" t="n"/>
      <c r="ALR2" s="454" t="n"/>
      <c r="ALS2" s="454" t="n"/>
      <c r="ALT2" s="454" t="n"/>
      <c r="ALU2" s="454" t="n"/>
      <c r="ALV2" s="454" t="n"/>
      <c r="ALW2" s="454" t="n"/>
      <c r="ALX2" s="454" t="n"/>
      <c r="ALY2" s="454" t="n"/>
      <c r="ALZ2" s="454" t="n"/>
      <c r="AMA2" s="454" t="n"/>
      <c r="AMB2" s="454" t="n"/>
      <c r="AMC2" s="454" t="n"/>
      <c r="AMD2" s="454" t="n"/>
      <c r="AME2" s="454" t="n"/>
      <c r="AMF2" s="454" t="n"/>
      <c r="AMG2" s="454" t="n"/>
      <c r="AMH2" s="454" t="n"/>
      <c r="AMI2" s="454" t="n"/>
      <c r="AMJ2" s="454" t="n"/>
      <c r="AMK2" s="454" t="n"/>
    </row>
    <row r="3">
      <c r="B3" s="462" t="n"/>
      <c r="E3" s="992" t="n"/>
      <c r="F3" s="992" t="n"/>
      <c r="G3" s="992" t="n"/>
      <c r="H3" s="992" t="n"/>
      <c r="I3" s="992" t="n"/>
      <c r="J3" s="992" t="n"/>
      <c r="K3" s="992" t="n"/>
      <c r="L3" s="992" t="n"/>
    </row>
    <row r="4" ht="9.75" customHeight="1" s="885">
      <c r="A4" s="462" t="n"/>
      <c r="C4" s="992" t="n"/>
      <c r="E4" s="992" t="n"/>
      <c r="F4" s="992" t="n"/>
      <c r="G4" s="992" t="n"/>
      <c r="H4" s="992" t="n"/>
      <c r="I4" s="992" t="n"/>
      <c r="J4" s="992" t="n"/>
      <c r="K4" s="992" t="n"/>
      <c r="L4" s="992" t="n"/>
    </row>
    <row r="5">
      <c r="A5" s="462" t="n"/>
      <c r="C5" s="992" t="n"/>
      <c r="E5" s="992" t="n"/>
      <c r="F5" s="992" t="n"/>
      <c r="G5" s="992" t="n"/>
      <c r="H5" s="992" t="n"/>
      <c r="I5" s="992" t="n"/>
      <c r="J5" s="992" t="n"/>
      <c r="K5" s="992" t="n"/>
      <c r="L5" s="992" t="n"/>
    </row>
    <row r="6">
      <c r="C6" s="992" t="n"/>
      <c r="E6" s="992" t="n"/>
      <c r="F6" s="992" t="n"/>
      <c r="G6" s="992" t="n"/>
      <c r="H6" s="992" t="n"/>
      <c r="I6" s="992" t="n"/>
      <c r="J6" s="992" t="n"/>
      <c r="K6" s="992" t="n"/>
      <c r="L6" s="992" t="n"/>
    </row>
    <row r="7" ht="23" customFormat="1" customHeight="1" s="454">
      <c r="A7" s="480" t="n"/>
      <c r="B7" s="990" t="n"/>
      <c r="D7" s="990" t="n"/>
      <c r="E7" s="990" t="n"/>
    </row>
    <row r="8" ht="22.5" customFormat="1" customHeight="1" s="687">
      <c r="A8" s="882" t="inlineStr">
        <is>
          <t>Code DISPRU</t>
        </is>
      </c>
      <c r="B8" s="883" t="inlineStr">
        <is>
          <t>Nom</t>
        </is>
      </c>
      <c r="C8" s="884" t="inlineStr">
        <is>
          <t xml:space="preserve">BENEFICIAIRES </t>
        </is>
      </c>
      <c r="D8" s="894" t="n"/>
      <c r="E8" s="894" t="n"/>
      <c r="F8" s="894" t="n"/>
      <c r="G8" s="894" t="n"/>
      <c r="H8" s="894" t="n"/>
      <c r="I8" s="894" t="n"/>
      <c r="J8" s="895" t="n"/>
      <c r="K8" s="884" t="inlineStr">
        <is>
          <t>TOTAL</t>
        </is>
      </c>
    </row>
    <row r="9" ht="133.5" customFormat="1" customHeight="1" s="687">
      <c r="A9" s="1022" t="n"/>
      <c r="B9" s="958" t="n"/>
      <c r="C9" s="827" t="inlineStr">
        <is>
          <t>Actionnaires détenant individuellement au moins 10% des droits de vote</t>
        </is>
      </c>
      <c r="D9" s="827" t="inlineStr">
        <is>
          <t>Membres de l'organe délibérant (n.c. dans la colonne c)</t>
        </is>
      </c>
      <c r="E9" s="827" t="inlineStr">
        <is>
          <t>Membres de l'organe exécutif (n.c. dans la colonne c)</t>
        </is>
      </c>
      <c r="F9" s="827" t="inlineStr">
        <is>
          <t>Commissaires aux comptes</t>
        </is>
      </c>
      <c r="G9" s="827" t="inlineStr">
        <is>
          <t>Personnel de Direction</t>
        </is>
      </c>
      <c r="H9" s="827" t="inlineStr">
        <is>
          <t>Cadres moyens et supérieurs</t>
        </is>
      </c>
      <c r="I9" s="827" t="inlineStr">
        <is>
          <t>Personnel d'exécution</t>
        </is>
      </c>
      <c r="J9" s="827" t="inlineStr">
        <is>
          <t xml:space="preserve">Autres parties liées </t>
        </is>
      </c>
      <c r="K9" s="896" t="n"/>
    </row>
    <row r="10" ht="36" customFormat="1" customHeight="1" s="689">
      <c r="A10" s="509" t="inlineStr">
        <is>
          <t>PR005</t>
        </is>
      </c>
      <c r="B10" s="688" t="n"/>
      <c r="C10" s="688" t="n"/>
      <c r="D10" s="688" t="n"/>
      <c r="E10" s="688" t="n"/>
      <c r="F10" s="688" t="n"/>
      <c r="G10" s="688" t="n"/>
      <c r="H10" s="688" t="n"/>
      <c r="I10" s="688" t="n"/>
      <c r="J10" s="688" t="n"/>
      <c r="K10" s="688" t="n">
        <v>0</v>
      </c>
    </row>
    <row r="11" ht="36" customFormat="1" customHeight="1" s="689">
      <c r="A11" s="509" t="inlineStr">
        <is>
          <t>PR006</t>
        </is>
      </c>
      <c r="B11" s="688" t="n"/>
      <c r="C11" s="688" t="n"/>
      <c r="D11" s="688" t="n"/>
      <c r="E11" s="688" t="n"/>
      <c r="F11" s="688" t="n"/>
      <c r="G11" s="688" t="n"/>
      <c r="H11" s="688" t="n"/>
      <c r="I11" s="688" t="n"/>
      <c r="J11" s="688" t="n"/>
      <c r="K11" s="688" t="n">
        <v>0</v>
      </c>
    </row>
    <row r="12" ht="36" customFormat="1" customHeight="1" s="689">
      <c r="A12" s="509" t="inlineStr">
        <is>
          <t>PR007</t>
        </is>
      </c>
      <c r="B12" s="688" t="n"/>
      <c r="C12" s="688" t="n"/>
      <c r="D12" s="688" t="n"/>
      <c r="E12" s="688" t="n"/>
      <c r="F12" s="688" t="n"/>
      <c r="G12" s="688" t="n"/>
      <c r="H12" s="688" t="n"/>
      <c r="I12" s="688" t="n"/>
      <c r="J12" s="688" t="n"/>
      <c r="K12" s="688" t="n">
        <v>0</v>
      </c>
    </row>
    <row r="13" ht="36" customFormat="1" customHeight="1" s="689">
      <c r="A13" s="509" t="inlineStr">
        <is>
          <t>PR008</t>
        </is>
      </c>
      <c r="B13" s="688" t="n"/>
      <c r="C13" s="688" t="n"/>
      <c r="D13" s="688" t="n"/>
      <c r="E13" s="688" t="n"/>
      <c r="F13" s="688" t="n"/>
      <c r="G13" s="688" t="n"/>
      <c r="H13" s="688" t="n"/>
      <c r="I13" s="688" t="n"/>
      <c r="J13" s="688" t="n"/>
      <c r="K13" s="688" t="n">
        <v>0</v>
      </c>
    </row>
    <row r="14" ht="36" customFormat="1" customHeight="1" s="689">
      <c r="A14" s="509" t="inlineStr">
        <is>
          <t>PR009</t>
        </is>
      </c>
      <c r="B14" s="688" t="n"/>
      <c r="C14" s="688" t="n"/>
      <c r="D14" s="688" t="n"/>
      <c r="E14" s="688" t="n"/>
      <c r="F14" s="688" t="n"/>
      <c r="G14" s="688" t="n"/>
      <c r="H14" s="688" t="n"/>
      <c r="I14" s="688" t="n"/>
      <c r="J14" s="688" t="n"/>
      <c r="K14" s="688" t="n">
        <v>0</v>
      </c>
    </row>
    <row r="15" ht="36" customFormat="1" customHeight="1" s="689">
      <c r="A15" s="509" t="inlineStr">
        <is>
          <t>PR010</t>
        </is>
      </c>
      <c r="B15" s="688" t="n"/>
      <c r="C15" s="688" t="n"/>
      <c r="D15" s="688" t="n"/>
      <c r="E15" s="688" t="n"/>
      <c r="F15" s="688" t="n"/>
      <c r="G15" s="688" t="n"/>
      <c r="H15" s="688" t="n"/>
      <c r="I15" s="688" t="n"/>
      <c r="J15" s="688" t="n"/>
      <c r="K15" s="688" t="n">
        <v>0</v>
      </c>
    </row>
    <row r="16" ht="36" customFormat="1" customHeight="1" s="689">
      <c r="A16" s="509" t="inlineStr">
        <is>
          <t>PR011</t>
        </is>
      </c>
      <c r="B16" s="688" t="n"/>
      <c r="C16" s="688" t="n"/>
      <c r="D16" s="688" t="n"/>
      <c r="E16" s="688" t="n"/>
      <c r="F16" s="688" t="n"/>
      <c r="G16" s="688" t="n"/>
      <c r="H16" s="688" t="n"/>
      <c r="I16" s="688" t="n"/>
      <c r="J16" s="688" t="n"/>
      <c r="K16" s="688" t="n">
        <v>0</v>
      </c>
    </row>
    <row r="17" ht="36" customFormat="1" customHeight="1" s="689">
      <c r="A17" s="509" t="inlineStr">
        <is>
          <t>PR012</t>
        </is>
      </c>
      <c r="B17" s="688" t="n"/>
      <c r="C17" s="688" t="n"/>
      <c r="D17" s="688" t="n"/>
      <c r="E17" s="688" t="n"/>
      <c r="F17" s="688" t="n"/>
      <c r="G17" s="688" t="n"/>
      <c r="H17" s="688" t="n"/>
      <c r="I17" s="688" t="n"/>
      <c r="J17" s="688" t="n"/>
      <c r="K17" s="688" t="n">
        <v>0</v>
      </c>
    </row>
    <row r="18" ht="36" customFormat="1" customHeight="1" s="689">
      <c r="A18" s="509" t="inlineStr">
        <is>
          <t>PR013</t>
        </is>
      </c>
      <c r="B18" s="688" t="n"/>
      <c r="C18" s="688" t="n"/>
      <c r="D18" s="688" t="n"/>
      <c r="E18" s="688" t="n"/>
      <c r="F18" s="688" t="n"/>
      <c r="G18" s="688" t="n"/>
      <c r="H18" s="688" t="n"/>
      <c r="I18" s="688" t="n"/>
      <c r="J18" s="688" t="n"/>
      <c r="K18" s="688" t="n">
        <v>0</v>
      </c>
    </row>
    <row r="19" ht="36" customFormat="1" customHeight="1" s="689">
      <c r="A19" s="509" t="inlineStr">
        <is>
          <t>PR014</t>
        </is>
      </c>
      <c r="B19" s="688" t="n"/>
      <c r="C19" s="688" t="n"/>
      <c r="D19" s="688" t="n"/>
      <c r="E19" s="688" t="n"/>
      <c r="F19" s="688" t="n"/>
      <c r="G19" s="688" t="n"/>
      <c r="H19" s="688" t="n"/>
      <c r="I19" s="688" t="n"/>
      <c r="J19" s="688" t="n"/>
      <c r="K19" s="688" t="n">
        <v>0</v>
      </c>
    </row>
    <row r="20" ht="36" customFormat="1" customHeight="1" s="689">
      <c r="A20" s="509" t="inlineStr">
        <is>
          <t>PR015</t>
        </is>
      </c>
      <c r="B20" s="688" t="n"/>
      <c r="C20" s="688" t="n"/>
      <c r="D20" s="688" t="n"/>
      <c r="E20" s="688" t="n"/>
      <c r="F20" s="688" t="n"/>
      <c r="G20" s="688" t="n"/>
      <c r="H20" s="688" t="n"/>
      <c r="I20" s="688" t="n"/>
      <c r="J20" s="688" t="n"/>
      <c r="K20" s="688" t="n">
        <v>0</v>
      </c>
    </row>
    <row r="21" ht="36" customFormat="1" customHeight="1" s="689">
      <c r="A21" s="509" t="inlineStr">
        <is>
          <t>PR016</t>
        </is>
      </c>
      <c r="B21" s="688" t="n"/>
      <c r="C21" s="688" t="n"/>
      <c r="D21" s="688" t="n"/>
      <c r="E21" s="688" t="n"/>
      <c r="F21" s="688" t="n"/>
      <c r="G21" s="688" t="n"/>
      <c r="H21" s="688" t="n"/>
      <c r="I21" s="688" t="n"/>
      <c r="J21" s="688" t="n"/>
      <c r="K21" s="688" t="n">
        <v>0</v>
      </c>
    </row>
    <row r="22" ht="36" customFormat="1" customHeight="1" s="689">
      <c r="A22" s="509" t="inlineStr">
        <is>
          <t>PR017</t>
        </is>
      </c>
      <c r="B22" s="688" t="n"/>
      <c r="C22" s="688" t="n"/>
      <c r="D22" s="688" t="n"/>
      <c r="E22" s="688" t="n"/>
      <c r="F22" s="688" t="n"/>
      <c r="G22" s="688" t="n"/>
      <c r="H22" s="688" t="n"/>
      <c r="I22" s="688" t="n"/>
      <c r="J22" s="688" t="n"/>
      <c r="K22" s="688" t="n">
        <v>0</v>
      </c>
    </row>
    <row r="23" ht="36" customFormat="1" customHeight="1" s="689">
      <c r="A23" s="509" t="inlineStr">
        <is>
          <t>PR018</t>
        </is>
      </c>
      <c r="B23" s="688" t="n"/>
      <c r="C23" s="688" t="n"/>
      <c r="D23" s="688" t="n"/>
      <c r="E23" s="688" t="n"/>
      <c r="F23" s="688" t="n"/>
      <c r="G23" s="688" t="n"/>
      <c r="H23" s="688" t="n"/>
      <c r="I23" s="688" t="n"/>
      <c r="J23" s="688" t="n"/>
      <c r="K23" s="688" t="n">
        <v>0</v>
      </c>
    </row>
    <row r="24" ht="36" customFormat="1" customHeight="1" s="689">
      <c r="A24" s="509" t="inlineStr">
        <is>
          <t>PR019</t>
        </is>
      </c>
      <c r="B24" s="688" t="n"/>
      <c r="C24" s="688" t="n"/>
      <c r="D24" s="688" t="n"/>
      <c r="E24" s="688" t="n"/>
      <c r="F24" s="688" t="n"/>
      <c r="G24" s="688" t="n"/>
      <c r="H24" s="688" t="n"/>
      <c r="I24" s="688" t="n"/>
      <c r="J24" s="688" t="n"/>
      <c r="K24" s="688" t="n">
        <v>0</v>
      </c>
    </row>
    <row r="25" ht="36" customFormat="1" customHeight="1" s="689">
      <c r="A25" s="509" t="inlineStr">
        <is>
          <t>PR020</t>
        </is>
      </c>
      <c r="B25" s="688" t="n"/>
      <c r="C25" s="688" t="n"/>
      <c r="D25" s="688" t="n"/>
      <c r="E25" s="688" t="n"/>
      <c r="F25" s="688" t="n"/>
      <c r="G25" s="688" t="n"/>
      <c r="H25" s="688" t="n"/>
      <c r="I25" s="688" t="n"/>
      <c r="J25" s="688" t="n"/>
      <c r="K25" s="688" t="n">
        <v>0</v>
      </c>
    </row>
    <row r="26" ht="36" customFormat="1" customHeight="1" s="689">
      <c r="A26" s="509" t="inlineStr">
        <is>
          <t>PR021</t>
        </is>
      </c>
      <c r="B26" s="688" t="n"/>
      <c r="C26" s="688" t="n"/>
      <c r="D26" s="688" t="n"/>
      <c r="E26" s="688" t="n"/>
      <c r="F26" s="688" t="n"/>
      <c r="G26" s="688" t="n"/>
      <c r="H26" s="688" t="n"/>
      <c r="I26" s="688" t="n"/>
      <c r="J26" s="688" t="n"/>
      <c r="K26" s="688" t="n">
        <v>0</v>
      </c>
    </row>
    <row r="27" ht="36" customFormat="1" customHeight="1" s="689">
      <c r="A27" s="509" t="inlineStr">
        <is>
          <t>PR022</t>
        </is>
      </c>
      <c r="B27" s="688" t="n"/>
      <c r="C27" s="688" t="n"/>
      <c r="D27" s="688" t="n"/>
      <c r="E27" s="688" t="n"/>
      <c r="F27" s="688" t="n"/>
      <c r="G27" s="688" t="n"/>
      <c r="H27" s="688" t="n"/>
      <c r="I27" s="688" t="n"/>
      <c r="J27" s="688" t="n"/>
      <c r="K27" s="688" t="n">
        <v>0</v>
      </c>
    </row>
    <row r="28" ht="36" customFormat="1" customHeight="1" s="689">
      <c r="A28" s="509" t="inlineStr">
        <is>
          <t>PR023</t>
        </is>
      </c>
      <c r="B28" s="688" t="n"/>
      <c r="C28" s="688" t="n"/>
      <c r="D28" s="688" t="n"/>
      <c r="E28" s="688" t="n"/>
      <c r="F28" s="688" t="n"/>
      <c r="G28" s="688" t="n"/>
      <c r="H28" s="688" t="n"/>
      <c r="I28" s="688" t="n"/>
      <c r="J28" s="688" t="n"/>
      <c r="K28" s="688" t="n">
        <v>0</v>
      </c>
    </row>
    <row r="29" ht="36" customFormat="1" customHeight="1" s="689">
      <c r="A29" s="509" t="inlineStr">
        <is>
          <t>PR024</t>
        </is>
      </c>
      <c r="B29" s="688" t="n"/>
      <c r="C29" s="688" t="n"/>
      <c r="D29" s="688" t="n"/>
      <c r="E29" s="688" t="n"/>
      <c r="F29" s="688" t="n"/>
      <c r="G29" s="688" t="n"/>
      <c r="H29" s="688" t="n"/>
      <c r="I29" s="688" t="n"/>
      <c r="J29" s="688" t="n"/>
      <c r="K29" s="688" t="n">
        <v>0</v>
      </c>
    </row>
    <row r="30" ht="36" customFormat="1" customHeight="1" s="689">
      <c r="A30" s="509" t="inlineStr">
        <is>
          <t>PR025</t>
        </is>
      </c>
      <c r="B30" s="688" t="n"/>
      <c r="C30" s="688" t="n"/>
      <c r="D30" s="688" t="n"/>
      <c r="E30" s="688" t="n"/>
      <c r="F30" s="688" t="n"/>
      <c r="G30" s="688" t="n"/>
      <c r="H30" s="688" t="n"/>
      <c r="I30" s="688" t="n"/>
      <c r="J30" s="688" t="n"/>
      <c r="K30" s="688" t="n">
        <v>0</v>
      </c>
    </row>
    <row r="31" ht="36" customFormat="1" customHeight="1" s="689">
      <c r="A31" s="509" t="inlineStr">
        <is>
          <t>PR026</t>
        </is>
      </c>
      <c r="B31" s="688" t="n"/>
      <c r="C31" s="688" t="n"/>
      <c r="D31" s="688" t="n"/>
      <c r="E31" s="688" t="n"/>
      <c r="F31" s="688" t="n"/>
      <c r="G31" s="688" t="n"/>
      <c r="H31" s="688" t="n"/>
      <c r="I31" s="688" t="n"/>
      <c r="J31" s="688" t="n"/>
      <c r="K31" s="688" t="n">
        <v>0</v>
      </c>
    </row>
    <row r="32" ht="36" customFormat="1" customHeight="1" s="689">
      <c r="A32" s="509" t="inlineStr">
        <is>
          <t>PR027</t>
        </is>
      </c>
      <c r="B32" s="688" t="n"/>
      <c r="C32" s="688" t="n"/>
      <c r="D32" s="688" t="n"/>
      <c r="E32" s="688" t="n"/>
      <c r="F32" s="688" t="n"/>
      <c r="G32" s="688" t="n"/>
      <c r="H32" s="688" t="n"/>
      <c r="I32" s="688" t="n"/>
      <c r="J32" s="688" t="n"/>
      <c r="K32" s="688" t="n">
        <v>0</v>
      </c>
    </row>
    <row r="33" ht="36" customFormat="1" customHeight="1" s="689">
      <c r="A33" s="509" t="inlineStr">
        <is>
          <t>PR028</t>
        </is>
      </c>
      <c r="B33" s="688" t="n"/>
      <c r="C33" s="688" t="n"/>
      <c r="D33" s="688" t="n"/>
      <c r="E33" s="688" t="n"/>
      <c r="F33" s="688" t="n"/>
      <c r="G33" s="688" t="n"/>
      <c r="H33" s="688" t="n"/>
      <c r="I33" s="688" t="n"/>
      <c r="J33" s="688" t="n"/>
      <c r="K33" s="688" t="n">
        <v>0</v>
      </c>
    </row>
    <row r="34" ht="36" customFormat="1" customHeight="1" s="689">
      <c r="A34" s="509" t="inlineStr">
        <is>
          <t>PR029</t>
        </is>
      </c>
      <c r="B34" s="688" t="n"/>
      <c r="C34" s="688" t="n"/>
      <c r="D34" s="688" t="n"/>
      <c r="E34" s="688" t="n"/>
      <c r="F34" s="688" t="n"/>
      <c r="G34" s="688" t="n"/>
      <c r="H34" s="688" t="n"/>
      <c r="I34" s="688" t="n"/>
      <c r="J34" s="688" t="n"/>
      <c r="K34" s="688" t="n">
        <v>0</v>
      </c>
    </row>
    <row r="35" ht="36" customFormat="1" customHeight="1" s="689">
      <c r="A35" s="509" t="inlineStr">
        <is>
          <t>PR030</t>
        </is>
      </c>
      <c r="B35" s="688" t="n"/>
      <c r="C35" s="688" t="n"/>
      <c r="D35" s="688" t="n"/>
      <c r="E35" s="688" t="n"/>
      <c r="F35" s="688" t="n"/>
      <c r="G35" s="688" t="n"/>
      <c r="H35" s="688" t="n"/>
      <c r="I35" s="688" t="n"/>
      <c r="J35" s="688" t="n"/>
      <c r="K35" s="688" t="n">
        <v>0</v>
      </c>
    </row>
    <row r="36" ht="36" customFormat="1" customHeight="1" s="689">
      <c r="A36" s="509" t="inlineStr">
        <is>
          <t>PR031</t>
        </is>
      </c>
      <c r="B36" s="688" t="n"/>
      <c r="C36" s="688" t="n"/>
      <c r="D36" s="688" t="n"/>
      <c r="E36" s="688" t="n"/>
      <c r="F36" s="688" t="n"/>
      <c r="G36" s="688" t="n"/>
      <c r="H36" s="688" t="n"/>
      <c r="I36" s="688" t="n"/>
      <c r="J36" s="688" t="n"/>
      <c r="K36" s="688" t="n">
        <v>0</v>
      </c>
    </row>
    <row r="37" ht="36" customFormat="1" customHeight="1" s="689">
      <c r="A37" s="509" t="inlineStr">
        <is>
          <t>PR032</t>
        </is>
      </c>
      <c r="B37" s="688" t="n"/>
      <c r="C37" s="688" t="n"/>
      <c r="D37" s="688" t="n"/>
      <c r="E37" s="688" t="n"/>
      <c r="F37" s="688" t="n"/>
      <c r="G37" s="688" t="n"/>
      <c r="H37" s="688" t="n"/>
      <c r="I37" s="688" t="n"/>
      <c r="J37" s="688" t="n"/>
      <c r="K37" s="688" t="n">
        <v>0</v>
      </c>
    </row>
    <row r="38" ht="36" customFormat="1" customHeight="1" s="689">
      <c r="A38" s="509" t="inlineStr">
        <is>
          <t>PR033</t>
        </is>
      </c>
      <c r="B38" s="688" t="n"/>
      <c r="C38" s="688" t="n"/>
      <c r="D38" s="688" t="n"/>
      <c r="E38" s="688" t="n"/>
      <c r="F38" s="688" t="n"/>
      <c r="G38" s="688" t="n"/>
      <c r="H38" s="688" t="n"/>
      <c r="I38" s="688" t="n"/>
      <c r="J38" s="688" t="n"/>
      <c r="K38" s="688" t="n">
        <v>0</v>
      </c>
    </row>
    <row r="39" ht="36" customFormat="1" customHeight="1" s="689">
      <c r="A39" s="509" t="inlineStr">
        <is>
          <t>PR034</t>
        </is>
      </c>
      <c r="B39" s="688" t="n"/>
      <c r="C39" s="688" t="n"/>
      <c r="D39" s="688" t="n"/>
      <c r="E39" s="688" t="n"/>
      <c r="F39" s="688" t="n"/>
      <c r="G39" s="688" t="n"/>
      <c r="H39" s="688" t="n"/>
      <c r="I39" s="688" t="n"/>
      <c r="J39" s="688" t="n"/>
      <c r="K39" s="688" t="n">
        <v>0</v>
      </c>
    </row>
    <row r="40" ht="36" customFormat="1" customHeight="1" s="689">
      <c r="A40" s="509" t="inlineStr">
        <is>
          <t>PR035</t>
        </is>
      </c>
      <c r="B40" s="688" t="n"/>
      <c r="C40" s="688" t="n"/>
      <c r="D40" s="688" t="n"/>
      <c r="E40" s="688" t="n"/>
      <c r="F40" s="688" t="n"/>
      <c r="G40" s="688" t="n"/>
      <c r="H40" s="688" t="n"/>
      <c r="I40" s="688" t="n"/>
      <c r="J40" s="688" t="n"/>
      <c r="K40" s="688" t="n">
        <v>0</v>
      </c>
    </row>
    <row r="41" ht="36" customFormat="1" customHeight="1" s="689">
      <c r="A41" s="509" t="inlineStr">
        <is>
          <t>PR036</t>
        </is>
      </c>
      <c r="B41" s="688" t="n"/>
      <c r="C41" s="688" t="n"/>
      <c r="D41" s="688" t="n"/>
      <c r="E41" s="688" t="n"/>
      <c r="F41" s="688" t="n"/>
      <c r="G41" s="688" t="n"/>
      <c r="H41" s="688" t="n"/>
      <c r="I41" s="688" t="n"/>
      <c r="J41" s="688" t="n"/>
      <c r="K41" s="688" t="n">
        <v>0</v>
      </c>
    </row>
    <row r="42" ht="36" customFormat="1" customHeight="1" s="689">
      <c r="A42" s="509" t="inlineStr">
        <is>
          <t>PR037</t>
        </is>
      </c>
      <c r="B42" s="688" t="n"/>
      <c r="C42" s="688" t="n"/>
      <c r="D42" s="688" t="n"/>
      <c r="E42" s="688" t="n"/>
      <c r="F42" s="688" t="n"/>
      <c r="G42" s="688" t="n"/>
      <c r="H42" s="688" t="n"/>
      <c r="I42" s="688" t="n"/>
      <c r="J42" s="688" t="n"/>
      <c r="K42" s="688" t="n">
        <v>0</v>
      </c>
    </row>
    <row r="43" ht="36" customFormat="1" customHeight="1" s="689">
      <c r="A43" s="509" t="inlineStr">
        <is>
          <t>PR038</t>
        </is>
      </c>
      <c r="B43" s="688" t="n"/>
      <c r="C43" s="688" t="n"/>
      <c r="D43" s="688" t="n"/>
      <c r="E43" s="688" t="n"/>
      <c r="F43" s="688" t="n"/>
      <c r="G43" s="688" t="n"/>
      <c r="H43" s="688" t="n"/>
      <c r="I43" s="688" t="n"/>
      <c r="J43" s="688" t="n"/>
      <c r="K43" s="688" t="n">
        <v>0</v>
      </c>
    </row>
    <row r="44" ht="36" customFormat="1" customHeight="1" s="689">
      <c r="A44" s="509" t="inlineStr">
        <is>
          <t>PR039</t>
        </is>
      </c>
      <c r="B44" s="688" t="n"/>
      <c r="C44" s="688" t="n"/>
      <c r="D44" s="688" t="n"/>
      <c r="E44" s="688" t="n"/>
      <c r="F44" s="688" t="n"/>
      <c r="G44" s="688" t="n"/>
      <c r="H44" s="688" t="n"/>
      <c r="I44" s="688" t="n"/>
      <c r="J44" s="688" t="n"/>
      <c r="K44" s="688" t="n">
        <v>0</v>
      </c>
    </row>
    <row r="45" ht="36" customFormat="1" customHeight="1" s="689">
      <c r="A45" s="509" t="inlineStr">
        <is>
          <t>PR040</t>
        </is>
      </c>
      <c r="B45" s="688" t="n"/>
      <c r="C45" s="688" t="n"/>
      <c r="D45" s="688" t="n"/>
      <c r="E45" s="688" t="n"/>
      <c r="F45" s="688" t="n"/>
      <c r="G45" s="688" t="n"/>
      <c r="H45" s="688" t="n"/>
      <c r="I45" s="688" t="n"/>
      <c r="J45" s="688" t="n"/>
      <c r="K45" s="688" t="n">
        <v>0</v>
      </c>
    </row>
    <row r="46" ht="36" customFormat="1" customHeight="1" s="689">
      <c r="A46" s="509" t="inlineStr">
        <is>
          <t>PR041</t>
        </is>
      </c>
      <c r="B46" s="688" t="n"/>
      <c r="C46" s="688" t="n"/>
      <c r="D46" s="688" t="n"/>
      <c r="E46" s="688" t="n"/>
      <c r="F46" s="688" t="n"/>
      <c r="G46" s="688" t="n"/>
      <c r="H46" s="688" t="n"/>
      <c r="I46" s="688" t="n"/>
      <c r="J46" s="688" t="n"/>
      <c r="K46" s="688" t="n">
        <v>0</v>
      </c>
    </row>
    <row r="47" ht="36" customFormat="1" customHeight="1" s="689">
      <c r="A47" s="509" t="inlineStr">
        <is>
          <t>PR042</t>
        </is>
      </c>
      <c r="B47" s="688" t="n"/>
      <c r="C47" s="688" t="n"/>
      <c r="D47" s="688" t="n"/>
      <c r="E47" s="688" t="n"/>
      <c r="F47" s="688" t="n"/>
      <c r="G47" s="688" t="n"/>
      <c r="H47" s="688" t="n"/>
      <c r="I47" s="688" t="n"/>
      <c r="J47" s="688" t="n"/>
      <c r="K47" s="688" t="n">
        <v>0</v>
      </c>
    </row>
    <row r="48" ht="36" customFormat="1" customHeight="1" s="689">
      <c r="A48" s="509" t="inlineStr">
        <is>
          <t>PR043</t>
        </is>
      </c>
      <c r="B48" s="688" t="n"/>
      <c r="C48" s="688" t="n"/>
      <c r="D48" s="688" t="n"/>
      <c r="E48" s="688" t="n"/>
      <c r="F48" s="688" t="n"/>
      <c r="G48" s="688" t="n"/>
      <c r="H48" s="688" t="n"/>
      <c r="I48" s="688" t="n"/>
      <c r="J48" s="688" t="n"/>
      <c r="K48" s="688" t="n">
        <v>0</v>
      </c>
    </row>
    <row r="49" ht="36" customFormat="1" customHeight="1" s="689">
      <c r="A49" s="509" t="inlineStr">
        <is>
          <t>PR044</t>
        </is>
      </c>
      <c r="B49" s="688" t="n"/>
      <c r="C49" s="688" t="n"/>
      <c r="D49" s="688" t="n"/>
      <c r="E49" s="688" t="n"/>
      <c r="F49" s="688" t="n"/>
      <c r="G49" s="688" t="n"/>
      <c r="H49" s="688" t="n"/>
      <c r="I49" s="688" t="n"/>
      <c r="J49" s="688" t="n"/>
      <c r="K49" s="688" t="n">
        <v>0</v>
      </c>
    </row>
    <row r="50" ht="36" customFormat="1" customHeight="1" s="689">
      <c r="A50" s="509" t="inlineStr">
        <is>
          <t>PR045</t>
        </is>
      </c>
      <c r="B50" s="688" t="n"/>
      <c r="C50" s="688" t="n"/>
      <c r="D50" s="688" t="n"/>
      <c r="E50" s="688" t="n"/>
      <c r="F50" s="688" t="n"/>
      <c r="G50" s="688" t="n"/>
      <c r="H50" s="688" t="n"/>
      <c r="I50" s="688" t="n"/>
      <c r="J50" s="688" t="n"/>
      <c r="K50" s="688" t="n">
        <v>0</v>
      </c>
    </row>
    <row r="51" ht="36" customFormat="1" customHeight="1" s="689">
      <c r="A51" s="509" t="inlineStr">
        <is>
          <t>PR046</t>
        </is>
      </c>
      <c r="B51" s="688" t="n"/>
      <c r="C51" s="688" t="n"/>
      <c r="D51" s="688" t="n"/>
      <c r="E51" s="688" t="n"/>
      <c r="F51" s="688" t="n"/>
      <c r="G51" s="688" t="n"/>
      <c r="H51" s="688" t="n"/>
      <c r="I51" s="688" t="n"/>
      <c r="J51" s="688" t="n"/>
      <c r="K51" s="688" t="n">
        <v>0</v>
      </c>
    </row>
    <row r="52" ht="36" customFormat="1" customHeight="1" s="689">
      <c r="A52" s="509" t="inlineStr">
        <is>
          <t>PR047</t>
        </is>
      </c>
      <c r="B52" s="688" t="n"/>
      <c r="C52" s="688" t="n"/>
      <c r="D52" s="688" t="n"/>
      <c r="E52" s="688" t="n"/>
      <c r="F52" s="688" t="n"/>
      <c r="G52" s="688" t="n"/>
      <c r="H52" s="688" t="n"/>
      <c r="I52" s="688" t="n"/>
      <c r="J52" s="688" t="n"/>
      <c r="K52" s="688" t="n">
        <v>0</v>
      </c>
    </row>
    <row r="53" ht="36" customFormat="1" customHeight="1" s="689">
      <c r="A53" s="509" t="inlineStr">
        <is>
          <t>PR048</t>
        </is>
      </c>
      <c r="B53" s="688" t="n"/>
      <c r="C53" s="688" t="n"/>
      <c r="D53" s="688" t="n"/>
      <c r="E53" s="688" t="n"/>
      <c r="F53" s="688" t="n"/>
      <c r="G53" s="688" t="n"/>
      <c r="H53" s="688" t="n"/>
      <c r="I53" s="688" t="n"/>
      <c r="J53" s="688" t="n"/>
      <c r="K53" s="688" t="n">
        <v>0</v>
      </c>
    </row>
    <row r="54" ht="36" customFormat="1" customHeight="1" s="689">
      <c r="A54" s="509" t="inlineStr">
        <is>
          <t>PR049</t>
        </is>
      </c>
      <c r="B54" s="688" t="n"/>
      <c r="C54" s="688" t="n"/>
      <c r="D54" s="688" t="n"/>
      <c r="E54" s="688" t="n"/>
      <c r="F54" s="688" t="n"/>
      <c r="G54" s="688" t="n"/>
      <c r="H54" s="688" t="n"/>
      <c r="I54" s="688" t="n"/>
      <c r="J54" s="688" t="n"/>
      <c r="K54" s="688" t="n">
        <v>0</v>
      </c>
    </row>
    <row r="55" ht="36" customFormat="1" customHeight="1" s="689">
      <c r="A55" s="509" t="inlineStr">
        <is>
          <t>PR050</t>
        </is>
      </c>
      <c r="B55" s="688" t="n"/>
      <c r="C55" s="688" t="n"/>
      <c r="D55" s="688" t="n"/>
      <c r="E55" s="688" t="n"/>
      <c r="F55" s="688" t="n"/>
      <c r="G55" s="688" t="n"/>
      <c r="H55" s="688" t="n"/>
      <c r="I55" s="688" t="n"/>
      <c r="J55" s="688" t="n"/>
      <c r="K55" s="688" t="n">
        <v>0</v>
      </c>
    </row>
    <row r="56" ht="36" customFormat="1" customHeight="1" s="689">
      <c r="A56" s="509" t="inlineStr">
        <is>
          <t>PR051</t>
        </is>
      </c>
      <c r="B56" s="688" t="n"/>
      <c r="C56" s="688" t="n"/>
      <c r="D56" s="688" t="n"/>
      <c r="E56" s="688" t="n"/>
      <c r="F56" s="688" t="n"/>
      <c r="G56" s="688" t="n"/>
      <c r="H56" s="688" t="n"/>
      <c r="I56" s="688" t="n"/>
      <c r="J56" s="688" t="n"/>
      <c r="K56" s="688" t="n">
        <v>0</v>
      </c>
    </row>
    <row r="57" ht="36" customFormat="1" customHeight="1" s="689">
      <c r="A57" s="509" t="inlineStr">
        <is>
          <t>PR052</t>
        </is>
      </c>
      <c r="B57" s="688" t="n"/>
      <c r="C57" s="688" t="n"/>
      <c r="D57" s="688" t="n"/>
      <c r="E57" s="688" t="n"/>
      <c r="F57" s="688" t="n"/>
      <c r="G57" s="688" t="n"/>
      <c r="H57" s="688" t="n"/>
      <c r="I57" s="688" t="n"/>
      <c r="J57" s="688" t="n"/>
      <c r="K57" s="688" t="n">
        <v>0</v>
      </c>
    </row>
    <row r="58" ht="36" customFormat="1" customHeight="1" s="689">
      <c r="A58" s="509" t="inlineStr">
        <is>
          <t>PR053</t>
        </is>
      </c>
      <c r="B58" s="688" t="n"/>
      <c r="C58" s="688" t="n"/>
      <c r="D58" s="688" t="n"/>
      <c r="E58" s="688" t="n"/>
      <c r="F58" s="688" t="n"/>
      <c r="G58" s="688" t="n"/>
      <c r="H58" s="688" t="n"/>
      <c r="I58" s="688" t="n"/>
      <c r="J58" s="688" t="n"/>
      <c r="K58" s="688" t="n">
        <v>0</v>
      </c>
    </row>
    <row r="59" ht="36" customFormat="1" customHeight="1" s="689">
      <c r="A59" s="509" t="inlineStr">
        <is>
          <t>PR054</t>
        </is>
      </c>
      <c r="B59" s="688" t="n"/>
      <c r="C59" s="688" t="n"/>
      <c r="D59" s="688" t="n"/>
      <c r="E59" s="688" t="n"/>
      <c r="F59" s="688" t="n"/>
      <c r="G59" s="688" t="n"/>
      <c r="H59" s="688" t="n"/>
      <c r="I59" s="688" t="n"/>
      <c r="J59" s="688" t="n"/>
      <c r="K59" s="688" t="n">
        <v>0</v>
      </c>
    </row>
    <row r="60" ht="36" customFormat="1" customHeight="1" s="690">
      <c r="A60" s="509" t="inlineStr">
        <is>
          <t>PR055</t>
        </is>
      </c>
      <c r="B60" s="509" t="inlineStr">
        <is>
          <t>TOTAL</t>
        </is>
      </c>
      <c r="C60" s="688" t="n">
        <v>0</v>
      </c>
      <c r="D60" s="688" t="n">
        <v>0</v>
      </c>
      <c r="E60" s="688" t="n">
        <v>0</v>
      </c>
      <c r="F60" s="688" t="n">
        <v>0</v>
      </c>
      <c r="G60" s="688" t="n">
        <v>0</v>
      </c>
      <c r="H60" s="688" t="n">
        <v>0</v>
      </c>
      <c r="I60" s="688" t="n">
        <v>0</v>
      </c>
      <c r="J60" s="688" t="n">
        <v>0</v>
      </c>
      <c r="K60" s="688" t="n">
        <v>0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tS61SKkau94at+5UvrVrw==" formatRows="1" sort="1" spinCount="100000" hashValue="GYBo9tPOfz5fC+vexq9CN5Ivc+Z2TUS+g5/hHM9OXYdQtsrJsYZk9eGkAR7IU6SLVmtEBz445YkOE6oKaJHffg=="/>
  <mergeCells count="5">
    <mergeCell ref="A1:J1"/>
    <mergeCell ref="A8:A9"/>
    <mergeCell ref="K8:K9"/>
    <mergeCell ref="B8:B9"/>
    <mergeCell ref="C8:J8"/>
  </mergeCells>
  <pageMargins left="0.708333333333333" right="0.708333333333333" top="0.747916666666667" bottom="0.747916666666667" header="0.511811023622047" footer="0.315277777777778"/>
  <pageSetup orientation="landscape" paperSize="9" scale="34" horizontalDpi="300" verticalDpi="300"/>
  <headerFooter>
    <oddHeader/>
    <oddFooter>&amp;R&amp;P</oddFooter>
    <evenHeader/>
    <evenFooter/>
    <firstHeader/>
    <firstFooter/>
  </headerFooter>
  <rowBreaks count="1" manualBreakCount="1">
    <brk id="3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Yaye Aminata SECK MBOW</dc:creator>
  <dc:title>Modèle Calc - Page de garde paysage</dc:title>
  <dc:language>fr-FR</dc:language>
  <dcterms:created xsi:type="dcterms:W3CDTF">2013-07-04T14:42:13Z</dcterms:created>
  <dcterms:modified xsi:type="dcterms:W3CDTF">2026-08-31T10:01:11Z</dcterms:modified>
  <cp:lastModifiedBy>Aimé Kouadio</cp:lastModifiedBy>
  <cp:revision>635</cp:revision>
  <cp:lastPrinted>2018-04-17T15:36:32Z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nfo 1" fmtid="{D5CDD505-2E9C-101B-9397-08002B2CF9AE}" pid="2">
    <vt:lpwstr/>
  </property>
  <property name="Info 2" fmtid="{D5CDD505-2E9C-101B-9397-08002B2CF9AE}" pid="3">
    <vt:lpwstr/>
  </property>
  <property name="Info 3" fmtid="{D5CDD505-2E9C-101B-9397-08002B2CF9AE}" pid="4">
    <vt:lpwstr/>
  </property>
  <property name="Info 4" fmtid="{D5CDD505-2E9C-101B-9397-08002B2CF9AE}" pid="5">
    <vt:lpwstr/>
  </property>
</Properties>
</file>